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MIT SAINI DATA\Projects\Excel\"/>
    </mc:Choice>
  </mc:AlternateContent>
  <xr:revisionPtr revIDLastSave="0" documentId="13_ncr:1_{4F1653D2-133E-4F6F-B08E-36459AD303F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📊 Dashboard" sheetId="1" r:id="rId1"/>
    <sheet name="Sales_Data" sheetId="2" r:id="rId2"/>
    <sheet name="Monthly_Summary" sheetId="3" r:id="rId3"/>
    <sheet name="Regional_Analysis" sheetId="4" r:id="rId4"/>
    <sheet name="Salesperson_Scorecard" sheetId="5" r:id="rId5"/>
  </sheets>
  <definedNames>
    <definedName name="_xlnm._FilterDatabase" localSheetId="1" hidden="1">Sales_Data!$A$1:$P$501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4" l="1"/>
  <c r="E5" i="1"/>
  <c r="E5" i="3"/>
  <c r="E16" i="3" s="1"/>
  <c r="B4" i="3"/>
  <c r="I13" i="5"/>
  <c r="F13" i="5"/>
  <c r="G13" i="5" s="1"/>
  <c r="E36" i="1" s="1"/>
  <c r="E13" i="5"/>
  <c r="J13" i="5" s="1"/>
  <c r="D13" i="5"/>
  <c r="C13" i="5"/>
  <c r="I12" i="5"/>
  <c r="F12" i="5"/>
  <c r="G12" i="5" s="1"/>
  <c r="E12" i="5"/>
  <c r="J12" i="5" s="1"/>
  <c r="D12" i="5"/>
  <c r="C12" i="5"/>
  <c r="I11" i="5"/>
  <c r="F11" i="5"/>
  <c r="E11" i="5"/>
  <c r="J11" i="5" s="1"/>
  <c r="D11" i="5"/>
  <c r="C11" i="5"/>
  <c r="I10" i="5"/>
  <c r="F10" i="5"/>
  <c r="E10" i="5"/>
  <c r="J10" i="5" s="1"/>
  <c r="F39" i="1" s="1"/>
  <c r="D10" i="5"/>
  <c r="C10" i="5"/>
  <c r="I9" i="5"/>
  <c r="F9" i="5"/>
  <c r="E9" i="5"/>
  <c r="J9" i="5" s="1"/>
  <c r="D9" i="5"/>
  <c r="C9" i="5"/>
  <c r="I8" i="5"/>
  <c r="F8" i="5"/>
  <c r="E8" i="5"/>
  <c r="J8" i="5" s="1"/>
  <c r="D8" i="5"/>
  <c r="C8" i="5"/>
  <c r="I7" i="5"/>
  <c r="F7" i="5"/>
  <c r="E7" i="5"/>
  <c r="J7" i="5" s="1"/>
  <c r="D7" i="5"/>
  <c r="C7" i="5"/>
  <c r="I6" i="5"/>
  <c r="F6" i="5"/>
  <c r="E6" i="5"/>
  <c r="J6" i="5" s="1"/>
  <c r="D6" i="5"/>
  <c r="C6" i="5"/>
  <c r="I5" i="5"/>
  <c r="F5" i="5"/>
  <c r="E5" i="5"/>
  <c r="J5" i="5" s="1"/>
  <c r="D5" i="5"/>
  <c r="C5" i="5"/>
  <c r="I4" i="5"/>
  <c r="F4" i="5"/>
  <c r="E4" i="5"/>
  <c r="J4" i="5" s="1"/>
  <c r="F35" i="1" s="1"/>
  <c r="D4" i="5"/>
  <c r="C4" i="5"/>
  <c r="F16" i="4"/>
  <c r="E16" i="4"/>
  <c r="D16" i="4"/>
  <c r="C16" i="4"/>
  <c r="B16" i="4"/>
  <c r="G16" i="4" s="1"/>
  <c r="G15" i="4"/>
  <c r="E15" i="4"/>
  <c r="D15" i="4"/>
  <c r="F15" i="4" s="1"/>
  <c r="C15" i="4"/>
  <c r="B15" i="4"/>
  <c r="F14" i="4"/>
  <c r="E14" i="4"/>
  <c r="D14" i="4"/>
  <c r="C14" i="4"/>
  <c r="B14" i="4"/>
  <c r="G14" i="4" s="1"/>
  <c r="G13" i="4"/>
  <c r="E13" i="4"/>
  <c r="D13" i="4"/>
  <c r="F13" i="4" s="1"/>
  <c r="C13" i="4"/>
  <c r="B13" i="4"/>
  <c r="F12" i="4"/>
  <c r="E12" i="4"/>
  <c r="D12" i="4"/>
  <c r="C12" i="4"/>
  <c r="B12" i="4"/>
  <c r="G12" i="4" s="1"/>
  <c r="J7" i="4"/>
  <c r="F7" i="4"/>
  <c r="G7" i="4" s="1"/>
  <c r="E7" i="4"/>
  <c r="D7" i="4"/>
  <c r="I7" i="4" s="1"/>
  <c r="C7" i="4"/>
  <c r="B7" i="4"/>
  <c r="J6" i="4"/>
  <c r="E6" i="4"/>
  <c r="F6" i="4" s="1"/>
  <c r="G6" i="4" s="1"/>
  <c r="D6" i="4"/>
  <c r="H6" i="4" s="1"/>
  <c r="C6" i="4"/>
  <c r="B6" i="4"/>
  <c r="J5" i="4"/>
  <c r="H5" i="4"/>
  <c r="E5" i="4"/>
  <c r="D5" i="4"/>
  <c r="I5" i="4" s="1"/>
  <c r="C5" i="4"/>
  <c r="B5" i="4"/>
  <c r="J4" i="4"/>
  <c r="I4" i="4"/>
  <c r="H4" i="4"/>
  <c r="E4" i="4"/>
  <c r="E8" i="4" s="1"/>
  <c r="D4" i="4"/>
  <c r="F4" i="4" s="1"/>
  <c r="G4" i="4" s="1"/>
  <c r="C4" i="4"/>
  <c r="C8" i="4" s="1"/>
  <c r="B4" i="4"/>
  <c r="J3" i="4"/>
  <c r="J8" i="4" s="1"/>
  <c r="F3" i="4"/>
  <c r="E3" i="4"/>
  <c r="D3" i="4"/>
  <c r="D8" i="4" s="1"/>
  <c r="C3" i="4"/>
  <c r="B3" i="4"/>
  <c r="B8" i="4" s="1"/>
  <c r="I15" i="3"/>
  <c r="E15" i="3"/>
  <c r="D15" i="3"/>
  <c r="F15" i="3" s="1"/>
  <c r="G15" i="3" s="1"/>
  <c r="C15" i="3"/>
  <c r="B15" i="3"/>
  <c r="I14" i="3"/>
  <c r="E14" i="3"/>
  <c r="D14" i="3"/>
  <c r="H15" i="3" s="1"/>
  <c r="C14" i="3"/>
  <c r="B14" i="3"/>
  <c r="I13" i="3"/>
  <c r="E13" i="3"/>
  <c r="D13" i="3"/>
  <c r="F13" i="3" s="1"/>
  <c r="G13" i="3" s="1"/>
  <c r="C13" i="3"/>
  <c r="B13" i="3"/>
  <c r="I12" i="3"/>
  <c r="E12" i="3"/>
  <c r="D12" i="3"/>
  <c r="F12" i="3" s="1"/>
  <c r="G12" i="3" s="1"/>
  <c r="C12" i="3"/>
  <c r="B12" i="3"/>
  <c r="I11" i="3"/>
  <c r="E11" i="3"/>
  <c r="D11" i="3"/>
  <c r="H12" i="3" s="1"/>
  <c r="C11" i="3"/>
  <c r="B11" i="3"/>
  <c r="I10" i="3"/>
  <c r="E10" i="3"/>
  <c r="D10" i="3"/>
  <c r="F10" i="3" s="1"/>
  <c r="G10" i="3" s="1"/>
  <c r="C10" i="3"/>
  <c r="B10" i="3"/>
  <c r="I9" i="3"/>
  <c r="E9" i="3"/>
  <c r="D9" i="3"/>
  <c r="F9" i="3" s="1"/>
  <c r="G9" i="3" s="1"/>
  <c r="C9" i="3"/>
  <c r="B9" i="3"/>
  <c r="I8" i="3"/>
  <c r="E8" i="3"/>
  <c r="D8" i="3"/>
  <c r="H9" i="3" s="1"/>
  <c r="C8" i="3"/>
  <c r="B8" i="3"/>
  <c r="I7" i="3"/>
  <c r="E7" i="3"/>
  <c r="D7" i="3"/>
  <c r="F7" i="3" s="1"/>
  <c r="G7" i="3" s="1"/>
  <c r="C7" i="3"/>
  <c r="B7" i="3"/>
  <c r="I6" i="3"/>
  <c r="E6" i="3"/>
  <c r="D6" i="3"/>
  <c r="F6" i="3" s="1"/>
  <c r="G6" i="3" s="1"/>
  <c r="C6" i="3"/>
  <c r="B6" i="3"/>
  <c r="I5" i="3"/>
  <c r="D5" i="3"/>
  <c r="H6" i="3" s="1"/>
  <c r="C5" i="3"/>
  <c r="B5" i="3"/>
  <c r="I4" i="3"/>
  <c r="I16" i="3" s="1"/>
  <c r="E4" i="3"/>
  <c r="D4" i="3"/>
  <c r="E53" i="1" s="1"/>
  <c r="C4" i="3"/>
  <c r="C16" i="3" s="1"/>
  <c r="J53" i="1"/>
  <c r="A53" i="1"/>
  <c r="G48" i="1"/>
  <c r="F48" i="1"/>
  <c r="D48" i="1"/>
  <c r="C48" i="1"/>
  <c r="B48" i="1"/>
  <c r="H48" i="1" s="1"/>
  <c r="G47" i="1"/>
  <c r="F47" i="1"/>
  <c r="D47" i="1"/>
  <c r="C47" i="1"/>
  <c r="B47" i="1"/>
  <c r="E47" i="1" s="1"/>
  <c r="G46" i="1"/>
  <c r="F46" i="1"/>
  <c r="E46" i="1"/>
  <c r="D46" i="1"/>
  <c r="C46" i="1"/>
  <c r="B46" i="1"/>
  <c r="G45" i="1"/>
  <c r="F45" i="1"/>
  <c r="E45" i="1"/>
  <c r="D45" i="1"/>
  <c r="C45" i="1"/>
  <c r="B45" i="1"/>
  <c r="H46" i="1" s="1"/>
  <c r="D41" i="1"/>
  <c r="D40" i="1"/>
  <c r="B39" i="1"/>
  <c r="C38" i="1"/>
  <c r="B38" i="1"/>
  <c r="D37" i="1"/>
  <c r="B35" i="1"/>
  <c r="C34" i="1"/>
  <c r="D33" i="1"/>
  <c r="C33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G20" i="1"/>
  <c r="D20" i="1"/>
  <c r="C20" i="1"/>
  <c r="B20" i="1"/>
  <c r="F20" i="1" s="1"/>
  <c r="G19" i="1"/>
  <c r="F19" i="1"/>
  <c r="D19" i="1"/>
  <c r="C19" i="1"/>
  <c r="B19" i="1"/>
  <c r="E19" i="1" s="1"/>
  <c r="G18" i="1"/>
  <c r="D18" i="1"/>
  <c r="C18" i="1"/>
  <c r="B18" i="1"/>
  <c r="F18" i="1" s="1"/>
  <c r="G17" i="1"/>
  <c r="F17" i="1"/>
  <c r="D17" i="1"/>
  <c r="C17" i="1"/>
  <c r="B17" i="1"/>
  <c r="E17" i="1" s="1"/>
  <c r="G16" i="1"/>
  <c r="D16" i="1"/>
  <c r="C16" i="1"/>
  <c r="B16" i="1"/>
  <c r="F16" i="1" s="1"/>
  <c r="L12" i="1"/>
  <c r="K12" i="1"/>
  <c r="J12" i="1"/>
  <c r="I12" i="1"/>
  <c r="H12" i="1"/>
  <c r="G12" i="1"/>
  <c r="F12" i="1"/>
  <c r="E12" i="1"/>
  <c r="D12" i="1"/>
  <c r="C12" i="1"/>
  <c r="B12" i="1"/>
  <c r="A12" i="1"/>
  <c r="Q6" i="1"/>
  <c r="M6" i="1"/>
  <c r="E6" i="1"/>
  <c r="A6" i="1"/>
  <c r="Q5" i="1"/>
  <c r="M5" i="1"/>
  <c r="I5" i="1"/>
  <c r="A5" i="1"/>
  <c r="B16" i="3" l="1"/>
  <c r="E16" i="1"/>
  <c r="E18" i="1"/>
  <c r="E20" i="1"/>
  <c r="O53" i="1"/>
  <c r="F5" i="3"/>
  <c r="G5" i="3" s="1"/>
  <c r="F8" i="3"/>
  <c r="G8" i="3" s="1"/>
  <c r="F11" i="3"/>
  <c r="G11" i="3" s="1"/>
  <c r="F14" i="3"/>
  <c r="G14" i="3" s="1"/>
  <c r="G3" i="4"/>
  <c r="F33" i="1"/>
  <c r="C36" i="1"/>
  <c r="B41" i="1"/>
  <c r="H47" i="1"/>
  <c r="H3" i="4"/>
  <c r="H7" i="4"/>
  <c r="G6" i="5"/>
  <c r="E32" i="1" s="1"/>
  <c r="G9" i="5"/>
  <c r="B34" i="1"/>
  <c r="D36" i="1"/>
  <c r="F38" i="1"/>
  <c r="C41" i="1"/>
  <c r="H5" i="3"/>
  <c r="H8" i="3"/>
  <c r="H11" i="3"/>
  <c r="H14" i="3"/>
  <c r="D16" i="3"/>
  <c r="I3" i="4"/>
  <c r="H6" i="5"/>
  <c r="H9" i="5"/>
  <c r="H12" i="5"/>
  <c r="B32" i="1"/>
  <c r="D34" i="1"/>
  <c r="F36" i="1"/>
  <c r="C39" i="1"/>
  <c r="C32" i="1"/>
  <c r="B37" i="1"/>
  <c r="D39" i="1"/>
  <c r="F41" i="1"/>
  <c r="E48" i="1"/>
  <c r="F4" i="3"/>
  <c r="F5" i="4"/>
  <c r="G5" i="4" s="1"/>
  <c r="I6" i="4"/>
  <c r="G5" i="5"/>
  <c r="E38" i="1" s="1"/>
  <c r="G8" i="5"/>
  <c r="E34" i="1" s="1"/>
  <c r="G11" i="5"/>
  <c r="E40" i="1" s="1"/>
  <c r="D32" i="1"/>
  <c r="F34" i="1"/>
  <c r="C37" i="1"/>
  <c r="E39" i="1"/>
  <c r="H7" i="3"/>
  <c r="H10" i="3"/>
  <c r="H13" i="3"/>
  <c r="H5" i="5"/>
  <c r="H8" i="5"/>
  <c r="H11" i="5"/>
  <c r="F32" i="1"/>
  <c r="C35" i="1"/>
  <c r="E37" i="1"/>
  <c r="B40" i="1"/>
  <c r="B33" i="1"/>
  <c r="D35" i="1"/>
  <c r="F37" i="1"/>
  <c r="C40" i="1"/>
  <c r="G4" i="5"/>
  <c r="E35" i="1" s="1"/>
  <c r="G7" i="5"/>
  <c r="E41" i="1" s="1"/>
  <c r="G10" i="5"/>
  <c r="H4" i="5"/>
  <c r="H7" i="5"/>
  <c r="H10" i="5"/>
  <c r="H13" i="5"/>
  <c r="E33" i="1"/>
  <c r="B36" i="1"/>
  <c r="D38" i="1"/>
  <c r="F40" i="1"/>
  <c r="G8" i="4" l="1"/>
  <c r="G4" i="3"/>
  <c r="G16" i="3" s="1"/>
  <c r="F16" i="3"/>
  <c r="F8" i="4"/>
</calcChain>
</file>

<file path=xl/sharedStrings.xml><?xml version="1.0" encoding="utf-8"?>
<sst xmlns="http://schemas.openxmlformats.org/spreadsheetml/2006/main" count="4680" uniqueCount="653">
  <si>
    <t>🛒  SuperMart Retail Chain — Sales Performance Dashboard  |  FY 2024</t>
  </si>
  <si>
    <t>500 Transactions  ·  5 Regions  ·  5 Categories  ·  10 Salespersons  ·  Jan – Dec 2024</t>
  </si>
  <si>
    <t>💰 TOTAL REVENUE</t>
  </si>
  <si>
    <t>📦 TOTAL ORDERS</t>
  </si>
  <si>
    <t>📈 AVG MARGIN</t>
  </si>
  <si>
    <t>🏆 TOP REGION</t>
  </si>
  <si>
    <t>⚠️ RETURN RATE</t>
  </si>
  <si>
    <t>"Target: 30.0% | Blended across all categories"</t>
  </si>
  <si>
    <t>📅 Monthly Revenue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</si>
  <si>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</si>
  <si>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</si>
  <si>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</si>
  <si>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</si>
  <si>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</si>
  <si>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</si>
  <si>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</si>
  <si>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</si>
  <si>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</si>
  <si>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</si>
  <si>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</si>
  <si>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</si>
  <si>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🗺️ Regional Breakdown</t>
  </si>
  <si>
    <t>Region</t>
  </si>
  <si>
    <t>Revenue (₹)</t>
  </si>
  <si>
    <t>Orders</t>
  </si>
  <si>
    <t>Margin %</t>
  </si>
  <si>
    <t>Share %</t>
  </si>
  <si>
    <t>Rank</t>
  </si>
  <si>
    <t>Returns</t>
  </si>
  <si>
    <t>North</t>
  </si>
  <si>
    <t>South</t>
  </si>
  <si>
    <t>East</t>
  </si>
  <si>
    <t>West</t>
  </si>
  <si>
    <t>Central</t>
  </si>
  <si>
    <t>🏷️ Category Performance</t>
  </si>
  <si>
    <t>Category</t>
  </si>
  <si>
    <t>Units</t>
  </si>
  <si>
    <t>Return Rate</t>
  </si>
  <si>
    <t>Electronics</t>
  </si>
  <si>
    <t>Clothing</t>
  </si>
  <si>
    <t>Groceries</t>
  </si>
  <si>
    <t>Furniture</t>
  </si>
  <si>
    <t>Sports</t>
  </si>
  <si>
    <t>🏆 Top Salesperson Leaderboard</t>
  </si>
  <si>
    <t>Salesperson</t>
  </si>
  <si>
    <t>Rating</t>
  </si>
  <si>
    <t>🥇</t>
  </si>
  <si>
    <t>🥈</t>
  </si>
  <si>
    <t>🥉</t>
  </si>
  <si>
    <t>📊 Quarterly Performance Summary</t>
  </si>
  <si>
    <t>Quarter</t>
  </si>
  <si>
    <t>Gross Profit (₹)</t>
  </si>
  <si>
    <t>QoQ Growth %</t>
  </si>
  <si>
    <t>Q1</t>
  </si>
  <si>
    <t>—</t>
  </si>
  <si>
    <t>Q2</t>
  </si>
  <si>
    <t>Q3</t>
  </si>
  <si>
    <t>Q4</t>
  </si>
  <si>
    <t>💡 Key Insights &amp; Alerts</t>
  </si>
  <si>
    <t>📌 Revenue Alert</t>
  </si>
  <si>
    <t>📌 Best Month</t>
  </si>
  <si>
    <t>📌 Return Rate Alert</t>
  </si>
  <si>
    <t>📌 Top Category</t>
  </si>
  <si>
    <t>📖 HOW TO USE THIS DASHBOARD  |  ① Browse raw data in 'Sales_Data' tab  |  ② Monthly trends in 'Monthly_Summary'  |  ③ Regional breakdown in 'Regional_Analysis'  |  ④ Individual performance in 'Salesperson_Scorecard'  |  ⑤ All formulas auto-update when new data is added to Sales_Data</t>
  </si>
  <si>
    <t>Order_ID</t>
  </si>
  <si>
    <t>Order_Date</t>
  </si>
  <si>
    <t>Month</t>
  </si>
  <si>
    <t>Store</t>
  </si>
  <si>
    <t>Product</t>
  </si>
  <si>
    <t>Unit_Price</t>
  </si>
  <si>
    <t>Revenue</t>
  </si>
  <si>
    <t>COGS</t>
  </si>
  <si>
    <t>Gross_Profit</t>
  </si>
  <si>
    <t>Profit_Margin%</t>
  </si>
  <si>
    <t>Return_Flag</t>
  </si>
  <si>
    <t>ORD-1001</t>
  </si>
  <si>
    <t>November</t>
  </si>
  <si>
    <t>Delhi-01</t>
  </si>
  <si>
    <t>Cooking Oil 5L</t>
  </si>
  <si>
    <t>Arjun Sharma</t>
  </si>
  <si>
    <t>No</t>
  </si>
  <si>
    <t>ORD-1002</t>
  </si>
  <si>
    <t>February</t>
  </si>
  <si>
    <t>Bhopal-01</t>
  </si>
  <si>
    <t>Samsung TV 55"</t>
  </si>
  <si>
    <t>Suresh Kumar</t>
  </si>
  <si>
    <t>ORD-1003</t>
  </si>
  <si>
    <t>Formal Suit</t>
  </si>
  <si>
    <t>Meera Joshi</t>
  </si>
  <si>
    <t>ORD-1004</t>
  </si>
  <si>
    <t>August</t>
  </si>
  <si>
    <t>Bhubaneswar-01</t>
  </si>
  <si>
    <t>Denim Jeans</t>
  </si>
  <si>
    <t>Amit Singh</t>
  </si>
  <si>
    <t>ORD-1005</t>
  </si>
  <si>
    <t>Kolkata-01</t>
  </si>
  <si>
    <t>Wardrobe 3-Door</t>
  </si>
  <si>
    <t>ORD-1006</t>
  </si>
  <si>
    <t>July</t>
  </si>
  <si>
    <t>Nagpur-01</t>
  </si>
  <si>
    <t>iPhone 15</t>
  </si>
  <si>
    <t>ORD-1007</t>
  </si>
  <si>
    <t>Atta 10kg</t>
  </si>
  <si>
    <t>ORD-1008</t>
  </si>
  <si>
    <t>Indore-01</t>
  </si>
  <si>
    <t>Women's Kurta</t>
  </si>
  <si>
    <t>ORD-1009</t>
  </si>
  <si>
    <t>October</t>
  </si>
  <si>
    <t>Hyderabad-01</t>
  </si>
  <si>
    <t>Rahul Gupta</t>
  </si>
  <si>
    <t>Yes</t>
  </si>
  <si>
    <t>ORD-1010</t>
  </si>
  <si>
    <t>Kavya Nair</t>
  </si>
  <si>
    <t>ORD-1011</t>
  </si>
  <si>
    <t>Dumbbells Set</t>
  </si>
  <si>
    <t>ORD-1012</t>
  </si>
  <si>
    <t>January</t>
  </si>
  <si>
    <t>Priya Patel</t>
  </si>
  <si>
    <t>ORD-1013</t>
  </si>
  <si>
    <t>Laptop HP</t>
  </si>
  <si>
    <t>ORD-1014</t>
  </si>
  <si>
    <t>ORD-1015</t>
  </si>
  <si>
    <t>March</t>
  </si>
  <si>
    <t>Sony Headphones</t>
  </si>
  <si>
    <t>ORD-1016</t>
  </si>
  <si>
    <t>June</t>
  </si>
  <si>
    <t>Chennai-01</t>
  </si>
  <si>
    <t>Men's Shirt</t>
  </si>
  <si>
    <t>ORD-1017</t>
  </si>
  <si>
    <t>Study Table</t>
  </si>
  <si>
    <t>ORD-1018</t>
  </si>
  <si>
    <t>Sneha Reddy</t>
  </si>
  <si>
    <t>ORD-1019</t>
  </si>
  <si>
    <t>Treadmill</t>
  </si>
  <si>
    <t>ORD-1020</t>
  </si>
  <si>
    <t>Delhi-02</t>
  </si>
  <si>
    <t>ORD-1021</t>
  </si>
  <si>
    <t>Sports Jacket</t>
  </si>
  <si>
    <t>ORD-1022</t>
  </si>
  <si>
    <t>Ahmedabad-01</t>
  </si>
  <si>
    <t>Rohan Mehta</t>
  </si>
  <si>
    <t>ORD-1023</t>
  </si>
  <si>
    <t>April</t>
  </si>
  <si>
    <t>ORD-1024</t>
  </si>
  <si>
    <t>ORD-1025</t>
  </si>
  <si>
    <t>Mumbai-01</t>
  </si>
  <si>
    <t>Divya Iyer</t>
  </si>
  <si>
    <t>ORD-1026</t>
  </si>
  <si>
    <t>Yoga Mat Pro</t>
  </si>
  <si>
    <t>ORD-1027</t>
  </si>
  <si>
    <t>Noida-01</t>
  </si>
  <si>
    <t>Rice 10kg Bag</t>
  </si>
  <si>
    <t>ORD-1028</t>
  </si>
  <si>
    <t>ORD-1029</t>
  </si>
  <si>
    <t>ORD-1030</t>
  </si>
  <si>
    <t>ORD-1031</t>
  </si>
  <si>
    <t>Cricket Bat SG</t>
  </si>
  <si>
    <t>ORD-1032</t>
  </si>
  <si>
    <t>Bangalore-01</t>
  </si>
  <si>
    <t>Dal Combo Pack</t>
  </si>
  <si>
    <t>ORD-1033</t>
  </si>
  <si>
    <t>ORD-1034</t>
  </si>
  <si>
    <t>ORD-1035</t>
  </si>
  <si>
    <t>Office Chair</t>
  </si>
  <si>
    <t>ORD-1036</t>
  </si>
  <si>
    <t>ORD-1037</t>
  </si>
  <si>
    <t>ORD-1038</t>
  </si>
  <si>
    <t>ORD-1039</t>
  </si>
  <si>
    <t>ORD-1040</t>
  </si>
  <si>
    <t>3-Seater Sofa</t>
  </si>
  <si>
    <t>ORD-1041</t>
  </si>
  <si>
    <t>ORD-1042</t>
  </si>
  <si>
    <t>ORD-1043</t>
  </si>
  <si>
    <t>ORD-1044</t>
  </si>
  <si>
    <t>ORD-1045</t>
  </si>
  <si>
    <t>December</t>
  </si>
  <si>
    <t>ORD-1046</t>
  </si>
  <si>
    <t>Pune-01</t>
  </si>
  <si>
    <t>Bed Frame Queen</t>
  </si>
  <si>
    <t>ORD-1047</t>
  </si>
  <si>
    <t>Spice Set</t>
  </si>
  <si>
    <t>ORD-1048</t>
  </si>
  <si>
    <t>ORD-1049</t>
  </si>
  <si>
    <t>ORD-1050</t>
  </si>
  <si>
    <t>ORD-1051</t>
  </si>
  <si>
    <t>ORD-1052</t>
  </si>
  <si>
    <t>ORD-1053</t>
  </si>
  <si>
    <t>Badminton Racket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</si>
  <si>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</si>
  <si>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</si>
  <si>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</si>
  <si>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</si>
  <si>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</si>
  <si>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</si>
  <si>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</si>
  <si>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</si>
  <si>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</si>
  <si>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</si>
  <si>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</si>
  <si>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</si>
  <si>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</si>
  <si>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</si>
  <si>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September</t>
  </si>
  <si>
    <t>ORD-1068</t>
  </si>
  <si>
    <t>ORD-1069</t>
  </si>
  <si>
    <t>ORD-1070</t>
  </si>
  <si>
    <t>ORD-1071</t>
  </si>
  <si>
    <t>ORD-1072</t>
  </si>
  <si>
    <t>Guwahati-01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</si>
  <si>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</si>
  <si>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</si>
  <si>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</si>
  <si>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</si>
  <si>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</si>
  <si>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</si>
  <si>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</si>
  <si>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</si>
  <si>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</si>
  <si>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</si>
  <si>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</si>
  <si>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</si>
  <si>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</si>
  <si>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</si>
  <si>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Canon Camera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</si>
  <si>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</si>
  <si>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</si>
  <si>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</si>
  <si>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</si>
  <si>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</si>
  <si>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</si>
  <si>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</si>
  <si>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</si>
  <si>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</si>
  <si>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</si>
  <si>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</si>
  <si>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</si>
  <si>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</si>
  <si>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</si>
  <si>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</si>
  <si>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</si>
  <si>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</si>
  <si>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</si>
  <si>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</si>
  <si>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</si>
  <si>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</si>
  <si>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</si>
  <si>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</si>
  <si>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</si>
  <si>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</si>
  <si>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</si>
  <si>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</si>
  <si>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</si>
  <si>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</si>
  <si>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</si>
  <si>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</si>
  <si>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</si>
  <si>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</si>
  <si>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</si>
  <si>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</si>
  <si>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</si>
  <si>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</si>
  <si>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</si>
  <si>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</si>
  <si>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</si>
  <si>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</si>
  <si>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</si>
  <si>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</si>
  <si>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</si>
  <si>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</si>
  <si>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</si>
  <si>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</si>
  <si>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</si>
  <si>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</si>
  <si>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</si>
  <si>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</si>
  <si>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</si>
  <si>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</si>
  <si>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</si>
  <si>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</si>
  <si>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</si>
  <si>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</si>
  <si>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</si>
  <si>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</si>
  <si>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</si>
  <si>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</si>
  <si>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</si>
  <si>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</si>
  <si>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</si>
  <si>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</si>
  <si>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</si>
  <si>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</si>
  <si>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</si>
  <si>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</si>
  <si>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</si>
  <si>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</si>
  <si>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</si>
  <si>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</si>
  <si>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</si>
  <si>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</si>
  <si>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</si>
  <si>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</si>
  <si>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</si>
  <si>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</si>
  <si>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</si>
  <si>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</si>
  <si>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</si>
  <si>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</si>
  <si>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</si>
  <si>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</si>
  <si>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</si>
  <si>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</si>
  <si>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</si>
  <si>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</si>
  <si>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</si>
  <si>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</si>
  <si>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</si>
  <si>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</si>
  <si>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</si>
  <si>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</si>
  <si>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</si>
  <si>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</si>
  <si>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</si>
  <si>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</si>
  <si>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</si>
  <si>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</si>
  <si>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</si>
  <si>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</si>
  <si>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</si>
  <si>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</si>
  <si>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</si>
  <si>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</si>
  <si>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</si>
  <si>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</si>
  <si>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</si>
  <si>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</si>
  <si>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</si>
  <si>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</si>
  <si>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</si>
  <si>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</si>
  <si>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</si>
  <si>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</si>
  <si>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</si>
  <si>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</si>
  <si>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</si>
  <si>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</si>
  <si>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</si>
  <si>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</si>
  <si>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</si>
  <si>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</si>
  <si>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</si>
  <si>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</si>
  <si>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</si>
  <si>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</si>
  <si>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</si>
  <si>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</si>
  <si>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</si>
  <si>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</si>
  <si>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</si>
  <si>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</si>
  <si>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</si>
  <si>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</si>
  <si>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</si>
  <si>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</si>
  <si>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</si>
  <si>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</si>
  <si>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</si>
  <si>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</si>
  <si>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</si>
  <si>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</si>
  <si>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</si>
  <si>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</si>
  <si>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</si>
  <si>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</si>
  <si>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</si>
  <si>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</si>
  <si>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</si>
  <si>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</si>
  <si>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</si>
  <si>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</si>
  <si>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</si>
  <si>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</si>
  <si>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</si>
  <si>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</si>
  <si>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</si>
  <si>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</si>
  <si>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</si>
  <si>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</si>
  <si>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</si>
  <si>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</si>
  <si>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</si>
  <si>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</si>
  <si>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</si>
  <si>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</si>
  <si>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</si>
  <si>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</si>
  <si>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</si>
  <si>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</si>
  <si>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</si>
  <si>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</si>
  <si>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</si>
  <si>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</si>
  <si>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</si>
  <si>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</si>
  <si>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</si>
  <si>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</si>
  <si>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</si>
  <si>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</si>
  <si>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</si>
  <si>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</si>
  <si>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</si>
  <si>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</si>
  <si>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</si>
  <si>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</si>
  <si>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</si>
  <si>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</si>
  <si>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</si>
  <si>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</si>
  <si>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</si>
  <si>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</si>
  <si>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</si>
  <si>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</si>
  <si>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</si>
  <si>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</si>
  <si>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</si>
  <si>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</si>
  <si>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</si>
  <si>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</si>
  <si>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</si>
  <si>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</si>
  <si>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</si>
  <si>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</si>
  <si>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</si>
  <si>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</si>
  <si>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</si>
  <si>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</si>
  <si>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</si>
  <si>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</si>
  <si>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</si>
  <si>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</si>
  <si>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</si>
  <si>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</si>
  <si>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</si>
  <si>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</si>
  <si>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</si>
  <si>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</si>
  <si>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</si>
  <si>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</si>
  <si>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</si>
  <si>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</si>
  <si>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</si>
  <si>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</si>
  <si>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</si>
  <si>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</si>
  <si>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</si>
  <si>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</si>
  <si>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</si>
  <si>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</si>
  <si>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</si>
  <si>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</si>
  <si>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</si>
  <si>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</si>
  <si>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</si>
  <si>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</si>
  <si>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</si>
  <si>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</si>
  <si>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</si>
  <si>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</si>
  <si>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</si>
  <si>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</si>
  <si>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</si>
  <si>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</si>
  <si>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</si>
  <si>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</si>
  <si>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</si>
  <si>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</si>
  <si>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</si>
  <si>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</si>
  <si>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</si>
  <si>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</si>
  <si>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</si>
  <si>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</si>
  <si>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</si>
  <si>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</si>
  <si>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</si>
  <si>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</si>
  <si>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</si>
  <si>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</si>
  <si>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</si>
  <si>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</si>
  <si>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</si>
  <si>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</si>
  <si>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</si>
  <si>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</si>
  <si>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</si>
  <si>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</si>
  <si>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</si>
  <si>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</si>
  <si>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</si>
  <si>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</si>
  <si>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</si>
  <si>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</si>
  <si>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</si>
  <si>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</si>
  <si>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</si>
  <si>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</si>
  <si>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</si>
  <si>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</si>
  <si>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</si>
  <si>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</si>
  <si>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</si>
  <si>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</si>
  <si>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</si>
  <si>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</si>
  <si>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</si>
  <si>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</si>
  <si>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</si>
  <si>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</si>
  <si>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</si>
  <si>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</si>
  <si>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</si>
  <si>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</si>
  <si>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</si>
  <si>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</si>
  <si>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</si>
  <si>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</si>
  <si>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</si>
  <si>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</si>
  <si>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</si>
  <si>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</si>
  <si>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</si>
  <si>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</si>
  <si>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</si>
  <si>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</si>
  <si>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</si>
  <si>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</si>
  <si>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</si>
  <si>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</si>
  <si>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</si>
  <si>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</si>
  <si>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</si>
  <si>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</si>
  <si>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</si>
  <si>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</si>
  <si>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</si>
  <si>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</si>
  <si>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</si>
  <si>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</si>
  <si>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</si>
  <si>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</si>
  <si>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</si>
  <si>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</si>
  <si>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</si>
  <si>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</si>
  <si>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</si>
  <si>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</si>
  <si>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</si>
  <si>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</si>
  <si>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</si>
  <si>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</si>
  <si>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</si>
  <si>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</si>
  <si>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</si>
  <si>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</si>
  <si>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</si>
  <si>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</si>
  <si>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</si>
  <si>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</si>
  <si>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</si>
  <si>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</si>
  <si>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</si>
  <si>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</si>
  <si>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</si>
  <si>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</si>
  <si>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</si>
  <si>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</si>
  <si>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</si>
  <si>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</si>
  <si>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</si>
  <si>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</si>
  <si>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</si>
  <si>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</si>
  <si>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</si>
  <si>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</si>
  <si>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</si>
  <si>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</si>
  <si>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</si>
  <si>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</si>
  <si>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</si>
  <si>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</si>
  <si>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</si>
  <si>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</si>
  <si>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</si>
  <si>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</si>
  <si>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</si>
  <si>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</si>
  <si>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</si>
  <si>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</si>
  <si>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</si>
  <si>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</si>
  <si>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</si>
  <si>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</si>
  <si>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</si>
  <si>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</si>
  <si>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</si>
  <si>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</si>
  <si>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</si>
  <si>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</si>
  <si>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</si>
  <si>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</si>
  <si>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</si>
  <si>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</si>
  <si>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</si>
  <si>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</si>
  <si>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</si>
  <si>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</si>
  <si>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</si>
  <si>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</si>
  <si>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</si>
  <si>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</si>
  <si>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</si>
  <si>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</si>
  <si>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</si>
  <si>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</si>
  <si>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</si>
  <si>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</si>
  <si>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</si>
  <si>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</si>
  <si>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</si>
  <si>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</si>
  <si>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</si>
  <si>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</si>
  <si>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</si>
  <si>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</si>
  <si>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</si>
  <si>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</si>
  <si>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</si>
  <si>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</si>
  <si>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</si>
  <si>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SuperMart Retail — Monthly Performance Summary 2024</t>
  </si>
  <si>
    <t>Source: Sales_Data Sheet  |  Data Period: Jan 2024 – Dec 2024  |  500 Transactions</t>
  </si>
  <si>
    <t>Units Sold</t>
  </si>
  <si>
    <t>COGS (₹)</t>
  </si>
  <si>
    <t>MoM Growth %</t>
  </si>
  <si>
    <t>-</t>
  </si>
  <si>
    <t>TOTAL / AVG</t>
  </si>
  <si>
    <t>SuperMart Retail — Regional Performance Analysis 2024</t>
  </si>
  <si>
    <t>Revenue Share %</t>
  </si>
  <si>
    <t>GRAND TOTAL</t>
  </si>
  <si>
    <t>Category Performance</t>
  </si>
  <si>
    <t>Return Rate %</t>
  </si>
  <si>
    <t>SuperMart Retail — Salesperson Performance Scorecard 2024</t>
  </si>
  <si>
    <t>Annual Targets: Revenue ₹40,00,000 per Rep  |  Margin Target: 30%  |  Max Returns: 5%</t>
  </si>
  <si>
    <t>vs Target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</si>
</sst>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"/>
    <numFmt numFmtId="165" formatCode="0.0%"/>
    <numFmt numFmtId="166" formatCode="\+0.0%;\-0.0%"/>
    <numFmt numFmtId="167" formatCode="dd\-mmm\-yyyy"/>
    <numFmt numFmtId="168" formatCode="\₹#,##0.00"/>
  </numFmts>
  <fonts count="31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9"/>
      <color rgb="FF1D6F42"/>
      <name val="Arial"/>
      <charset val="1"/>
    </font>
    <font>
      <b/>
      <sz val="9"/>
      <color rgb="FF1D4ED8"/>
      <name val="Arial"/>
      <charset val="1"/>
    </font>
    <font>
      <b/>
      <sz val="9"/>
      <color rgb="FF7C3AED"/>
      <name val="Arial"/>
      <charset val="1"/>
    </font>
    <font>
      <b/>
      <sz val="9"/>
      <color rgb="FFB45309"/>
      <name val="Arial"/>
      <charset val="1"/>
    </font>
    <font>
      <b/>
      <sz val="9"/>
      <color rgb="FFDC2626"/>
      <name val="Arial"/>
      <charset val="1"/>
    </font>
    <font>
      <b/>
      <sz val="18"/>
      <color rgb="FF1D6F42"/>
      <name val="Arial"/>
      <charset val="1"/>
    </font>
    <font>
      <b/>
      <sz val="18"/>
      <color rgb="FF1D4ED8"/>
      <name val="Arial"/>
      <charset val="1"/>
    </font>
    <font>
      <b/>
      <sz val="18"/>
      <color rgb="FF7C3AED"/>
      <name val="Arial"/>
      <charset val="1"/>
    </font>
    <font>
      <b/>
      <sz val="18"/>
      <color rgb="FFB45309"/>
      <name val="Arial"/>
      <charset val="1"/>
    </font>
    <font>
      <b/>
      <sz val="18"/>
      <color rgb="FFDC2626"/>
      <name val="Arial"/>
      <charset val="1"/>
    </font>
    <font>
      <i/>
      <sz val="8"/>
      <color rgb="FF6B728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F2937"/>
      <name val="Arial"/>
      <charset val="1"/>
    </font>
    <font>
      <b/>
      <sz val="11"/>
      <color rgb="FFF59E0B"/>
      <name val="Arial"/>
      <charset val="1"/>
    </font>
    <font>
      <sz val="9"/>
      <color rgb="FF1F2937"/>
      <name val="Arial"/>
      <charset val="1"/>
    </font>
    <font>
      <b/>
      <sz val="10"/>
      <color rgb="FF1F2937"/>
      <name val="Arial"/>
      <charset val="1"/>
    </font>
    <font>
      <b/>
      <sz val="9"/>
      <color rgb="FF92400D"/>
      <name val="Arial"/>
      <charset val="1"/>
    </font>
    <font>
      <i/>
      <sz val="9"/>
      <color rgb="FF1F2937"/>
      <name val="Arial"/>
      <charset val="1"/>
    </font>
    <font>
      <b/>
      <sz val="10"/>
      <color rgb="FFFFFFFF"/>
      <name val="Arial"/>
      <charset val="1"/>
    </font>
    <font>
      <b/>
      <sz val="16"/>
      <color rgb="FFFFFFFF"/>
      <name val="Arial"/>
      <charset val="1"/>
    </font>
    <font>
      <i/>
      <sz val="9"/>
      <color rgb="FF6B7280"/>
      <name val="Arial"/>
      <charset val="1"/>
    </font>
    <font>
      <sz val="10"/>
      <color rgb="FF1F2937"/>
      <name val="Arial"/>
      <charset val="1"/>
    </font>
    <font>
      <b/>
      <sz val="11"/>
      <color rgb="FF1F2937"/>
      <name val="Arial"/>
      <charset val="1"/>
    </font>
    <font>
      <b/>
      <sz val="12"/>
      <color rgb="FF1D6F42"/>
      <name val="Arial"/>
      <charset val="1"/>
    </font>
    <font>
      <b/>
      <i/>
      <sz val="9"/>
      <color rgb="FF1F2937"/>
      <name val="Arial"/>
      <charset val="1"/>
    </font>
    <font>
      <sz val="11"/>
      <color theme="1"/>
      <name val="Arial"/>
      <family val="2"/>
    </font>
    <font>
      <b/>
      <sz val="9"/>
      <color theme="7" tint="-0.249977111117893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D6F42"/>
        <bgColor rgb="FF2E8B57"/>
      </patternFill>
    </fill>
    <fill>
      <patternFill patternType="solid">
        <fgColor rgb="FF2E8B57"/>
        <bgColor rgb="FF1D6F42"/>
      </patternFill>
    </fill>
    <fill>
      <patternFill patternType="solid">
        <fgColor rgb="FFF8FAFC"/>
        <bgColor rgb="FFF9F9F9"/>
      </patternFill>
    </fill>
    <fill>
      <patternFill patternType="solid">
        <fgColor rgb="FFE8F5EE"/>
        <bgColor rgb="FFEFF6FF"/>
      </patternFill>
    </fill>
    <fill>
      <patternFill patternType="solid">
        <fgColor rgb="FFEFF6FF"/>
        <bgColor rgb="FFF5F3FF"/>
      </patternFill>
    </fill>
    <fill>
      <patternFill patternType="solid">
        <fgColor rgb="FFF5F3FF"/>
        <bgColor rgb="FFEFF6FF"/>
      </patternFill>
    </fill>
    <fill>
      <patternFill patternType="solid">
        <fgColor rgb="FFFEF3C7"/>
        <bgColor rgb="FFFEF2F2"/>
      </patternFill>
    </fill>
    <fill>
      <patternFill patternType="solid">
        <fgColor rgb="FFFEF2F2"/>
        <bgColor rgb="FFF9F9F9"/>
      </patternFill>
    </fill>
    <fill>
      <patternFill patternType="solid">
        <fgColor rgb="FF1D4ED8"/>
        <bgColor rgb="FF003366"/>
      </patternFill>
    </fill>
    <fill>
      <patternFill patternType="solid">
        <fgColor rgb="FF7C3AED"/>
        <bgColor rgb="FF6F568D"/>
      </patternFill>
    </fill>
    <fill>
      <patternFill patternType="solid">
        <fgColor rgb="FFB45309"/>
        <bgColor rgb="FFAA433F"/>
      </patternFill>
    </fill>
    <fill>
      <patternFill patternType="solid">
        <fgColor rgb="FFDC2626"/>
        <bgColor rgb="FFAA433F"/>
      </patternFill>
    </fill>
    <fill>
      <patternFill patternType="solid">
        <fgColor rgb="FFF0FDF4"/>
        <bgColor rgb="FFF8FAFC"/>
      </patternFill>
    </fill>
    <fill>
      <patternFill patternType="solid">
        <fgColor theme="7" tint="0.79998168889431442"/>
        <bgColor rgb="FFFEF2F2"/>
      </patternFill>
    </fill>
  </fills>
  <borders count="40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 style="thin">
        <color rgb="FF92400D"/>
      </left>
      <right/>
      <top style="thin">
        <color rgb="FF92400D"/>
      </top>
      <bottom style="thin">
        <color rgb="FF92400D"/>
      </bottom>
      <diagonal/>
    </border>
    <border>
      <left style="thin">
        <color rgb="FF1D6F42"/>
      </left>
      <right/>
      <top style="thin">
        <color rgb="FF1D6F42"/>
      </top>
      <bottom style="thin">
        <color rgb="FF1D6F42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 style="thin">
        <color rgb="FF1D4ED8"/>
      </left>
      <right/>
      <top style="thin">
        <color rgb="FF1D4ED8"/>
      </top>
      <bottom/>
      <diagonal/>
    </border>
    <border>
      <left style="thin">
        <color rgb="FF92400D"/>
      </left>
      <right/>
      <top style="thin">
        <color rgb="FF92400D"/>
      </top>
      <bottom/>
      <diagonal/>
    </border>
    <border>
      <left style="thin">
        <color rgb="FF1D6F42"/>
      </left>
      <right/>
      <top style="thin">
        <color rgb="FF1D6F42"/>
      </top>
      <bottom/>
      <diagonal/>
    </border>
    <border>
      <left style="thin">
        <color rgb="FF52B788"/>
      </left>
      <right/>
      <top style="thin">
        <color rgb="FF52B78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1D6F42"/>
      </left>
      <right style="thin">
        <color rgb="FF1D6F42"/>
      </right>
      <top style="thin">
        <color rgb="FF1D6F42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DC2626"/>
      </left>
      <right/>
      <top style="thin">
        <color rgb="FFDC2626"/>
      </top>
      <bottom style="thin">
        <color indexed="64"/>
      </bottom>
      <diagonal/>
    </border>
    <border>
      <left style="thin">
        <color rgb="FF1D4ED8"/>
      </left>
      <right/>
      <top style="thin">
        <color rgb="FF1D4ED8"/>
      </top>
      <bottom style="thin">
        <color indexed="64"/>
      </bottom>
      <diagonal/>
    </border>
    <border>
      <left style="thin">
        <color rgb="FF92400D"/>
      </left>
      <right/>
      <top style="thin">
        <color rgb="FF92400D"/>
      </top>
      <bottom style="thin">
        <color indexed="64"/>
      </bottom>
      <diagonal/>
    </border>
    <border>
      <left style="thin">
        <color rgb="FF1D6F42"/>
      </left>
      <right/>
      <top style="thin">
        <color rgb="FF1D6F4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52B788"/>
      </left>
      <right/>
      <top style="medium">
        <color indexed="64"/>
      </top>
      <bottom/>
      <diagonal/>
    </border>
    <border>
      <left style="thin">
        <color rgb="FF52B78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52B788"/>
      </top>
      <bottom/>
      <diagonal/>
    </border>
    <border>
      <left style="thin">
        <color rgb="FF52B788"/>
      </left>
      <right style="medium">
        <color indexed="64"/>
      </right>
      <top style="thin">
        <color rgb="FF52B788"/>
      </top>
      <bottom/>
      <diagonal/>
    </border>
    <border>
      <left style="medium">
        <color indexed="64"/>
      </left>
      <right/>
      <top style="thin">
        <color rgb="FF52B788"/>
      </top>
      <bottom style="medium">
        <color indexed="64"/>
      </bottom>
      <diagonal/>
    </border>
    <border>
      <left style="thin">
        <color rgb="FF52B788"/>
      </left>
      <right/>
      <top style="thin">
        <color rgb="FF52B788"/>
      </top>
      <bottom style="medium">
        <color indexed="64"/>
      </bottom>
      <diagonal/>
    </border>
    <border>
      <left style="thin">
        <color rgb="FF52B788"/>
      </left>
      <right style="medium">
        <color indexed="64"/>
      </right>
      <top style="thin">
        <color rgb="FF52B788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medium">
        <color indexed="64"/>
      </right>
      <top style="thin">
        <color rgb="FFE5E7EB"/>
      </top>
      <bottom style="thin">
        <color rgb="FFE5E7EB"/>
      </bottom>
      <diagonal/>
    </border>
    <border>
      <left style="medium">
        <color indexed="64"/>
      </left>
      <right style="thin">
        <color rgb="FFE5E7EB"/>
      </right>
      <top style="thin">
        <color rgb="FFE5E7EB"/>
      </top>
      <bottom style="medium">
        <color indexed="6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indexed="64"/>
      </bottom>
      <diagonal/>
    </border>
    <border>
      <left style="thin">
        <color rgb="FFE5E7EB"/>
      </left>
      <right style="medium">
        <color indexed="64"/>
      </right>
      <top style="thin">
        <color rgb="FFE5E7EB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E5E7EB"/>
      </bottom>
      <diagonal/>
    </border>
    <border>
      <left/>
      <right/>
      <top style="medium">
        <color indexed="64"/>
      </top>
      <bottom style="thin">
        <color rgb="FFE5E7EB"/>
      </bottom>
      <diagonal/>
    </border>
    <border>
      <left/>
      <right style="medium">
        <color indexed="64"/>
      </right>
      <top style="medium">
        <color indexed="64"/>
      </top>
      <bottom style="thin">
        <color rgb="FFE5E7EB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4" borderId="0" xfId="0" applyFill="1"/>
    <xf numFmtId="0" fontId="15" fillId="3" borderId="1" xfId="0" applyFon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65" fontId="0" fillId="1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164" fontId="18" fillId="14" borderId="1" xfId="0" applyNumberFormat="1" applyFont="1" applyFill="1" applyBorder="1" applyAlignment="1">
      <alignment horizontal="center" vertical="center"/>
    </xf>
    <xf numFmtId="165" fontId="18" fillId="14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164" fontId="18" fillId="4" borderId="1" xfId="0" applyNumberFormat="1" applyFont="1" applyFill="1" applyBorder="1" applyAlignment="1">
      <alignment horizontal="center" vertical="center"/>
    </xf>
    <xf numFmtId="165" fontId="18" fillId="4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left" vertical="center"/>
    </xf>
    <xf numFmtId="167" fontId="18" fillId="14" borderId="1" xfId="0" applyNumberFormat="1" applyFont="1" applyFill="1" applyBorder="1" applyAlignment="1">
      <alignment horizontal="left" vertical="center"/>
    </xf>
    <xf numFmtId="168" fontId="18" fillId="14" borderId="1" xfId="0" applyNumberFormat="1" applyFont="1" applyFill="1" applyBorder="1" applyAlignment="1">
      <alignment horizontal="left" vertical="center"/>
    </xf>
    <xf numFmtId="165" fontId="18" fillId="14" borderId="1" xfId="0" applyNumberFormat="1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167" fontId="18" fillId="0" borderId="1" xfId="0" applyNumberFormat="1" applyFont="1" applyBorder="1" applyAlignment="1">
      <alignment horizontal="left" vertical="center"/>
    </xf>
    <xf numFmtId="168" fontId="18" fillId="0" borderId="1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29" fillId="0" borderId="0" xfId="0" applyFont="1"/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25" fillId="14" borderId="11" xfId="0" applyFont="1" applyFill="1" applyBorder="1" applyAlignment="1">
      <alignment horizontal="center" vertical="center"/>
    </xf>
    <xf numFmtId="164" fontId="25" fillId="14" borderId="11" xfId="0" applyNumberFormat="1" applyFont="1" applyFill="1" applyBorder="1" applyAlignment="1">
      <alignment horizontal="center" vertical="center"/>
    </xf>
    <xf numFmtId="165" fontId="25" fillId="14" borderId="11" xfId="0" applyNumberFormat="1" applyFont="1" applyFill="1" applyBorder="1" applyAlignment="1">
      <alignment horizontal="center" vertical="center"/>
    </xf>
    <xf numFmtId="0" fontId="25" fillId="5" borderId="11" xfId="0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64" fontId="25" fillId="0" borderId="11" xfId="0" applyNumberFormat="1" applyFont="1" applyBorder="1" applyAlignment="1">
      <alignment horizontal="center" vertical="center"/>
    </xf>
    <xf numFmtId="165" fontId="25" fillId="0" borderId="11" xfId="0" applyNumberFormat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26" fillId="5" borderId="11" xfId="0" applyFont="1" applyFill="1" applyBorder="1"/>
    <xf numFmtId="0" fontId="14" fillId="2" borderId="11" xfId="0" applyFont="1" applyFill="1" applyBorder="1"/>
    <xf numFmtId="0" fontId="14" fillId="2" borderId="11" xfId="0" applyFont="1" applyFill="1" applyBorder="1" applyAlignment="1">
      <alignment horizontal="center" vertical="center"/>
    </xf>
    <xf numFmtId="164" fontId="14" fillId="2" borderId="11" xfId="0" applyNumberFormat="1" applyFont="1" applyFill="1" applyBorder="1" applyAlignment="1">
      <alignment horizontal="center" vertical="center"/>
    </xf>
    <xf numFmtId="165" fontId="14" fillId="2" borderId="11" xfId="0" applyNumberFormat="1" applyFont="1" applyFill="1" applyBorder="1" applyAlignment="1">
      <alignment horizontal="center" vertical="center"/>
    </xf>
    <xf numFmtId="10" fontId="14" fillId="2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22" fillId="3" borderId="16" xfId="0" applyFont="1" applyFill="1" applyBorder="1" applyAlignment="1">
      <alignment horizontal="center" vertical="center"/>
    </xf>
    <xf numFmtId="165" fontId="25" fillId="0" borderId="17" xfId="0" applyNumberFormat="1" applyFont="1" applyBorder="1" applyAlignment="1">
      <alignment horizontal="center" vertical="center"/>
    </xf>
    <xf numFmtId="0" fontId="19" fillId="14" borderId="11" xfId="0" applyFont="1" applyFill="1" applyBorder="1" applyAlignment="1">
      <alignment horizontal="center" vertical="center"/>
    </xf>
    <xf numFmtId="166" fontId="25" fillId="14" borderId="11" xfId="0" applyNumberFormat="1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166" fontId="25" fillId="0" borderId="11" xfId="0" applyNumberFormat="1" applyFont="1" applyBorder="1" applyAlignment="1">
      <alignment horizontal="center" vertical="center"/>
    </xf>
    <xf numFmtId="0" fontId="19" fillId="5" borderId="11" xfId="0" applyFont="1" applyFill="1" applyBorder="1"/>
    <xf numFmtId="3" fontId="25" fillId="14" borderId="11" xfId="0" applyNumberFormat="1" applyFont="1" applyFill="1" applyBorder="1" applyAlignment="1">
      <alignment horizontal="center" vertical="center"/>
    </xf>
    <xf numFmtId="3" fontId="25" fillId="0" borderId="11" xfId="0" applyNumberFormat="1" applyFont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164" fontId="22" fillId="2" borderId="11" xfId="0" applyNumberFormat="1" applyFont="1" applyFill="1" applyBorder="1" applyAlignment="1">
      <alignment horizontal="center" vertical="center"/>
    </xf>
    <xf numFmtId="165" fontId="22" fillId="2" borderId="1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164" fontId="8" fillId="5" borderId="0" xfId="0" applyNumberFormat="1" applyFont="1" applyFill="1" applyBorder="1" applyAlignment="1">
      <alignment horizontal="center" vertical="center"/>
    </xf>
    <xf numFmtId="3" fontId="9" fillId="6" borderId="0" xfId="0" applyNumberFormat="1" applyFont="1" applyFill="1" applyBorder="1" applyAlignment="1">
      <alignment horizontal="center" vertical="center"/>
    </xf>
    <xf numFmtId="165" fontId="10" fillId="7" borderId="0" xfId="0" applyNumberFormat="1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/>
    </xf>
    <xf numFmtId="165" fontId="12" fillId="9" borderId="0" xfId="0" applyNumberFormat="1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3" fillId="7" borderId="0" xfId="0" applyFont="1" applyFill="1" applyBorder="1" applyAlignment="1">
      <alignment horizontal="center" vertical="center" wrapText="1"/>
    </xf>
    <xf numFmtId="0" fontId="13" fillId="8" borderId="0" xfId="0" applyFont="1" applyFill="1" applyBorder="1" applyAlignment="1">
      <alignment horizontal="center" vertical="center" wrapText="1"/>
    </xf>
    <xf numFmtId="0" fontId="13" fillId="9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10" borderId="0" xfId="0" applyFill="1" applyBorder="1"/>
    <xf numFmtId="0" fontId="0" fillId="11" borderId="0" xfId="0" applyFill="1" applyBorder="1"/>
    <xf numFmtId="0" fontId="0" fillId="12" borderId="0" xfId="0" applyFill="1" applyBorder="1"/>
    <xf numFmtId="0" fontId="0" fillId="13" borderId="0" xfId="0" applyFill="1" applyBorder="1"/>
    <xf numFmtId="0" fontId="14" fillId="2" borderId="0" xfId="0" applyFont="1" applyFill="1" applyBorder="1" applyAlignment="1">
      <alignment horizontal="center" vertical="center"/>
    </xf>
    <xf numFmtId="0" fontId="30" fillId="15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0" fillId="15" borderId="6" xfId="0" applyFont="1" applyFill="1" applyBorder="1" applyAlignment="1">
      <alignment horizontal="center" vertical="center" wrapText="1"/>
    </xf>
    <xf numFmtId="0" fontId="30" fillId="15" borderId="18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20" fillId="8" borderId="2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21" fillId="5" borderId="24" xfId="0" applyFont="1" applyFill="1" applyBorder="1" applyAlignment="1">
      <alignment horizontal="center" vertical="center" wrapText="1"/>
    </xf>
    <xf numFmtId="0" fontId="21" fillId="5" borderId="25" xfId="0" applyFont="1" applyFill="1" applyBorder="1" applyAlignment="1">
      <alignment horizontal="center" vertical="center" wrapText="1"/>
    </xf>
    <xf numFmtId="0" fontId="21" fillId="5" borderId="10" xfId="0" applyFont="1" applyFill="1" applyBorder="1" applyAlignment="1">
      <alignment horizontal="center" vertical="center" wrapText="1"/>
    </xf>
    <xf numFmtId="0" fontId="21" fillId="5" borderId="26" xfId="0" applyFont="1" applyFill="1" applyBorder="1" applyAlignment="1">
      <alignment horizontal="center" vertical="center" wrapText="1"/>
    </xf>
    <xf numFmtId="0" fontId="21" fillId="5" borderId="27" xfId="0" applyFont="1" applyFill="1" applyBorder="1" applyAlignment="1">
      <alignment horizontal="center" vertical="center" wrapText="1"/>
    </xf>
    <xf numFmtId="0" fontId="21" fillId="5" borderId="28" xfId="0" applyFont="1" applyFill="1" applyBorder="1" applyAlignment="1">
      <alignment horizontal="center" vertical="center" wrapText="1"/>
    </xf>
    <xf numFmtId="0" fontId="21" fillId="5" borderId="29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/>
    </xf>
    <xf numFmtId="0" fontId="24" fillId="5" borderId="0" xfId="0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8" fillId="8" borderId="0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center" vertical="center"/>
    </xf>
    <xf numFmtId="0" fontId="16" fillId="14" borderId="32" xfId="0" applyFont="1" applyFill="1" applyBorder="1" applyAlignment="1">
      <alignment horizontal="center" vertical="center"/>
    </xf>
    <xf numFmtId="0" fontId="0" fillId="14" borderId="33" xfId="0" applyFill="1" applyBorder="1" applyAlignment="1">
      <alignment horizontal="center" vertical="center"/>
    </xf>
    <xf numFmtId="0" fontId="16" fillId="5" borderId="32" xfId="0" applyFont="1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16" fillId="14" borderId="34" xfId="0" applyFont="1" applyFill="1" applyBorder="1" applyAlignment="1">
      <alignment horizontal="center" vertical="center"/>
    </xf>
    <xf numFmtId="164" fontId="0" fillId="14" borderId="35" xfId="0" applyNumberFormat="1" applyFill="1" applyBorder="1" applyAlignment="1">
      <alignment horizontal="center" vertical="center"/>
    </xf>
    <xf numFmtId="0" fontId="0" fillId="14" borderId="35" xfId="0" applyFill="1" applyBorder="1" applyAlignment="1">
      <alignment horizontal="center" vertical="center"/>
    </xf>
    <xf numFmtId="165" fontId="0" fillId="14" borderId="35" xfId="0" applyNumberFormat="1" applyFill="1" applyBorder="1" applyAlignment="1">
      <alignment horizontal="center" vertical="center"/>
    </xf>
    <xf numFmtId="0" fontId="0" fillId="14" borderId="36" xfId="0" applyFill="1" applyBorder="1" applyAlignment="1">
      <alignment horizontal="center" vertical="center"/>
    </xf>
    <xf numFmtId="165" fontId="0" fillId="14" borderId="33" xfId="0" applyNumberFormat="1" applyFill="1" applyBorder="1" applyAlignment="1">
      <alignment horizontal="center" vertical="center"/>
    </xf>
    <xf numFmtId="165" fontId="0" fillId="4" borderId="33" xfId="0" applyNumberFormat="1" applyFill="1" applyBorder="1" applyAlignment="1">
      <alignment horizontal="center" vertical="center"/>
    </xf>
    <xf numFmtId="165" fontId="0" fillId="14" borderId="36" xfId="0" applyNumberFormat="1" applyFill="1" applyBorder="1" applyAlignment="1">
      <alignment horizontal="center" vertical="center"/>
    </xf>
    <xf numFmtId="0" fontId="17" fillId="14" borderId="32" xfId="0" applyFont="1" applyFill="1" applyBorder="1" applyAlignment="1">
      <alignment horizontal="center" vertical="center"/>
    </xf>
    <xf numFmtId="0" fontId="18" fillId="14" borderId="33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8" fillId="4" borderId="33" xfId="0" applyFont="1" applyFill="1" applyBorder="1" applyAlignment="1">
      <alignment horizontal="center" vertical="center"/>
    </xf>
    <xf numFmtId="0" fontId="17" fillId="4" borderId="34" xfId="0" applyFont="1" applyFill="1" applyBorder="1" applyAlignment="1">
      <alignment horizontal="center" vertical="center"/>
    </xf>
    <xf numFmtId="0" fontId="18" fillId="4" borderId="35" xfId="0" applyFont="1" applyFill="1" applyBorder="1" applyAlignment="1">
      <alignment horizontal="center" vertical="center"/>
    </xf>
    <xf numFmtId="164" fontId="18" fillId="4" borderId="35" xfId="0" applyNumberFormat="1" applyFont="1" applyFill="1" applyBorder="1" applyAlignment="1">
      <alignment horizontal="center" vertical="center"/>
    </xf>
    <xf numFmtId="165" fontId="18" fillId="4" borderId="35" xfId="0" applyNumberFormat="1" applyFont="1" applyFill="1" applyBorder="1" applyAlignment="1">
      <alignment horizontal="center" vertical="center"/>
    </xf>
    <xf numFmtId="0" fontId="18" fillId="4" borderId="36" xfId="0" applyFont="1" applyFill="1" applyBorder="1" applyAlignment="1">
      <alignment horizontal="center" vertical="center"/>
    </xf>
    <xf numFmtId="0" fontId="19" fillId="5" borderId="32" xfId="0" applyFont="1" applyFill="1" applyBorder="1" applyAlignment="1">
      <alignment horizontal="center" vertical="center"/>
    </xf>
    <xf numFmtId="0" fontId="19" fillId="14" borderId="32" xfId="0" applyFont="1" applyFill="1" applyBorder="1" applyAlignment="1">
      <alignment horizontal="center" vertical="center"/>
    </xf>
    <xf numFmtId="166" fontId="18" fillId="14" borderId="33" xfId="0" applyNumberFormat="1" applyFont="1" applyFill="1" applyBorder="1" applyAlignment="1">
      <alignment horizontal="center" vertical="center"/>
    </xf>
    <xf numFmtId="166" fontId="18" fillId="4" borderId="33" xfId="0" applyNumberFormat="1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 vertical="center"/>
    </xf>
    <xf numFmtId="164" fontId="18" fillId="14" borderId="35" xfId="0" applyNumberFormat="1" applyFont="1" applyFill="1" applyBorder="1" applyAlignment="1">
      <alignment horizontal="center" vertical="center"/>
    </xf>
    <xf numFmtId="0" fontId="18" fillId="14" borderId="35" xfId="0" applyFont="1" applyFill="1" applyBorder="1" applyAlignment="1">
      <alignment horizontal="center" vertical="center"/>
    </xf>
    <xf numFmtId="165" fontId="18" fillId="14" borderId="35" xfId="0" applyNumberFormat="1" applyFont="1" applyFill="1" applyBorder="1" applyAlignment="1">
      <alignment horizontal="center" vertical="center"/>
    </xf>
    <xf numFmtId="166" fontId="18" fillId="14" borderId="36" xfId="0" applyNumberFormat="1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/>
    </xf>
    <xf numFmtId="164" fontId="3" fillId="5" borderId="34" xfId="0" applyNumberFormat="1" applyFont="1" applyFill="1" applyBorder="1" applyAlignment="1">
      <alignment horizontal="center" vertical="center"/>
    </xf>
    <xf numFmtId="164" fontId="3" fillId="5" borderId="35" xfId="0" applyNumberFormat="1" applyFont="1" applyFill="1" applyBorder="1" applyAlignment="1">
      <alignment horizontal="center" vertical="center"/>
    </xf>
    <xf numFmtId="164" fontId="3" fillId="5" borderId="3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9F9F9"/>
      <rgbColor rgb="FFFF00FF"/>
      <rgbColor rgb="FFEFF6FF"/>
      <rgbColor rgb="FFB45309"/>
      <rgbColor rgb="FF008000"/>
      <rgbColor rgb="FF000080"/>
      <rgbColor rgb="FF87A44B"/>
      <rgbColor rgb="FF800080"/>
      <rgbColor rgb="FF1D6F42"/>
      <rgbColor rgb="FFB3C992"/>
      <rgbColor rgb="FF878787"/>
      <rgbColor rgb="FF8EA5CA"/>
      <rgbColor rgb="FFAA433F"/>
      <rgbColor rgb="FFFEF3C7"/>
      <rgbColor rgb="FFE8F5EE"/>
      <rgbColor rgb="FF660066"/>
      <rgbColor rgb="FFF79646"/>
      <rgbColor rgb="FF1D4ED8"/>
      <rgbColor rgb="FFD9D9D9"/>
      <rgbColor rgb="FF000080"/>
      <rgbColor rgb="FFFF00FF"/>
      <rgbColor rgb="FFF8FAFC"/>
      <rgbColor rgb="FFF5F3FF"/>
      <rgbColor rgb="FF800080"/>
      <rgbColor rgb="FF800000"/>
      <rgbColor rgb="FF3D97AF"/>
      <rgbColor rgb="FF0000FF"/>
      <rgbColor rgb="FF00CCFF"/>
      <rgbColor rgb="FFF0FDF4"/>
      <rgbColor rgb="FFE5E7EB"/>
      <rgbColor rgb="FFFEF2F2"/>
      <rgbColor rgb="FF8CBFD2"/>
      <rgbColor rgb="FFCC8F8E"/>
      <rgbColor rgb="FF95D5B2"/>
      <rgbColor rgb="FFF5B089"/>
      <rgbColor rgb="FF4F81BD"/>
      <rgbColor rgb="FF52B788"/>
      <rgbColor rgb="FF74C69D"/>
      <rgbColor rgb="FFFEE2E2"/>
      <rgbColor rgb="FFF59E0B"/>
      <rgbColor rgb="FFDB8238"/>
      <rgbColor rgb="FF6B7280"/>
      <rgbColor rgb="FFA596B9"/>
      <rgbColor rgb="FF003366"/>
      <rgbColor rgb="FF2E8B57"/>
      <rgbColor rgb="FF003300"/>
      <rgbColor rgb="FF333300"/>
      <rgbColor rgb="FF92400D"/>
      <rgbColor rgb="FF6F568D"/>
      <rgbColor rgb="FF7C3AED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Revenue% by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'📊 Dashboard'!$B$23</c:f>
              <c:strCache>
                <c:ptCount val="1"/>
                <c:pt idx="0">
                  <c:v>Revenue (₹)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E2-4451-A566-97F362359536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E2-4451-A566-97F362359536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E2-4451-A566-97F362359536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E2-4451-A566-97F362359536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FE2-4451-A566-97F3623595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Dashboard'!$A$24:$A$28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Groceries</c:v>
                </c:pt>
                <c:pt idx="3">
                  <c:v>Furniture</c:v>
                </c:pt>
                <c:pt idx="4">
                  <c:v>Sports</c:v>
                </c:pt>
              </c:strCache>
            </c:strRef>
          </c:cat>
          <c:val>
            <c:numRef>
              <c:f>'📊 Dashboard'!$B$24:$B$28</c:f>
              <c:numCache>
                <c:formatCode>\₹#,##0</c:formatCode>
                <c:ptCount val="5"/>
                <c:pt idx="0">
                  <c:v>46970140</c:v>
                </c:pt>
                <c:pt idx="1">
                  <c:v>2941370</c:v>
                </c:pt>
                <c:pt idx="2">
                  <c:v>1224330</c:v>
                </c:pt>
                <c:pt idx="3">
                  <c:v>28889360</c:v>
                </c:pt>
                <c:pt idx="4">
                  <c:v>8153290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6-4FD6-AE87-BEFA57A02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Dashboard'!$B$15</c:f>
              <c:strCache>
                <c:ptCount val="1"/>
                <c:pt idx="0">
                  <c:v>Revenue (₹)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'📊 Dashboard'!$A$16:$A$20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'📊 Dashboard'!$B$16:$B$20</c:f>
              <c:numCache>
                <c:formatCode>\₹#,##0</c:formatCode>
                <c:ptCount val="5"/>
                <c:pt idx="0">
                  <c:v>16101730</c:v>
                </c:pt>
                <c:pt idx="1">
                  <c:v>20329410</c:v>
                </c:pt>
                <c:pt idx="2">
                  <c:v>18011490</c:v>
                </c:pt>
                <c:pt idx="3">
                  <c:v>13755920</c:v>
                </c:pt>
                <c:pt idx="4">
                  <c:v>19979940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D-4EAC-858A-432AAFEA9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2429887"/>
        <c:axId val="1812428447"/>
      </c:barChart>
      <c:catAx>
        <c:axId val="181242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28447"/>
        <c:crosses val="autoZero"/>
        <c:auto val="1"/>
        <c:lblAlgn val="ctr"/>
        <c:lblOffset val="100"/>
        <c:noMultiLvlLbl val="0"/>
      </c:catAx>
      <c:valAx>
        <c:axId val="181242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2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Trend</a:t>
            </a:r>
          </a:p>
        </c:rich>
      </c:tx>
      <c:layout>
        <c:manualLayout>
          <c:xMode val="edge"/>
          <c:yMode val="edge"/>
          <c:x val="0.39265289644645485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Dashboard'!$A$11:$L$11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Dashboard'!$A$12:$L$12</c:f>
              <c:numCache>
                <c:formatCode>\₹#,##0</c:formatCode>
                <c:ptCount val="12"/>
                <c:pt idx="0">
                  <c:v>6580400</c:v>
                </c:pt>
                <c:pt idx="1">
                  <c:v>8919190</c:v>
                </c:pt>
                <c:pt idx="2">
                  <c:v>5759980</c:v>
                </c:pt>
                <c:pt idx="3">
                  <c:v>5818470</c:v>
                </c:pt>
                <c:pt idx="4">
                  <c:v>9601970</c:v>
                </c:pt>
                <c:pt idx="5">
                  <c:v>6869620</c:v>
                </c:pt>
                <c:pt idx="6">
                  <c:v>6966520</c:v>
                </c:pt>
                <c:pt idx="7">
                  <c:v>8013470</c:v>
                </c:pt>
                <c:pt idx="8">
                  <c:v>5430530</c:v>
                </c:pt>
                <c:pt idx="9">
                  <c:v>8198170</c:v>
                </c:pt>
                <c:pt idx="10">
                  <c:v>10027570</c:v>
                </c:pt>
                <c:pt idx="11">
                  <c:v>5992600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6-4C99-8C4E-16F862017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75343"/>
        <c:axId val="29277263"/>
      </c:lineChart>
      <c:catAx>
        <c:axId val="292753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77263"/>
        <c:crosses val="autoZero"/>
        <c:auto val="1"/>
        <c:lblAlgn val="ctr"/>
        <c:lblOffset val="100"/>
        <c:noMultiLvlLbl val="0"/>
      </c:catAx>
      <c:valAx>
        <c:axId val="292772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7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rgbClr val="D9D9D9">
          <a:alpha val="98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26</xdr:row>
      <xdr:rowOff>7620</xdr:rowOff>
    </xdr:from>
    <xdr:to>
      <xdr:col>20</xdr:col>
      <xdr:colOff>22860</xdr:colOff>
      <xdr:row>40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6AE312-6A55-F159-58F9-4319205A3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</xdr:colOff>
      <xdr:row>26</xdr:row>
      <xdr:rowOff>0</xdr:rowOff>
    </xdr:from>
    <xdr:to>
      <xdr:col>13</xdr:col>
      <xdr:colOff>274320</xdr:colOff>
      <xdr:row>40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15D6E2-A85E-61D6-A749-65A76FA4E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327660</xdr:colOff>
      <xdr:row>12</xdr:row>
      <xdr:rowOff>38100</xdr:rowOff>
    </xdr:from>
    <xdr:to>
      <xdr:col>19</xdr:col>
      <xdr:colOff>548640</xdr:colOff>
      <xdr:row>25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7B527C-1AA4-8CE3-8B13-705C28E8E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D6F42"/>
  </sheetPr>
  <dimension ref="A1:T60"/>
  <sheetViews>
    <sheetView showGridLines="0" tabSelected="1" zoomScaleNormal="100" workbookViewId="0">
      <selection activeCell="I5" sqref="I5:L5"/>
    </sheetView>
  </sheetViews>
  <sheetFormatPr defaultColWidth="8.6640625" defaultRowHeight="14.4" x14ac:dyDescent="0.3"/>
  <cols>
    <col min="1" max="1" width="10" customWidth="1"/>
    <col min="2" max="2" width="11.21875" customWidth="1"/>
    <col min="3" max="3" width="10" customWidth="1"/>
    <col min="4" max="4" width="12.44140625" customWidth="1"/>
    <col min="5" max="7" width="10" customWidth="1"/>
    <col min="8" max="8" width="12.109375" customWidth="1"/>
    <col min="9" max="20" width="10" customWidth="1"/>
  </cols>
  <sheetData>
    <row r="1" spans="1:20" ht="43.5" customHeight="1" x14ac:dyDescent="0.3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spans="1:20" ht="21.75" customHeight="1" x14ac:dyDescent="0.3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</row>
    <row r="3" spans="1:20" ht="9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9.5" customHeight="1" x14ac:dyDescent="0.3">
      <c r="A4" s="60" t="s">
        <v>2</v>
      </c>
      <c r="B4" s="60"/>
      <c r="C4" s="60"/>
      <c r="D4" s="60"/>
      <c r="E4" s="61" t="s">
        <v>3</v>
      </c>
      <c r="F4" s="61"/>
      <c r="G4" s="61"/>
      <c r="H4" s="61"/>
      <c r="I4" s="62" t="s">
        <v>4</v>
      </c>
      <c r="J4" s="62"/>
      <c r="K4" s="62"/>
      <c r="L4" s="62"/>
      <c r="M4" s="63" t="s">
        <v>5</v>
      </c>
      <c r="N4" s="63"/>
      <c r="O4" s="63"/>
      <c r="P4" s="63"/>
      <c r="Q4" s="64" t="s">
        <v>6</v>
      </c>
      <c r="R4" s="64"/>
      <c r="S4" s="64"/>
      <c r="T4" s="64"/>
    </row>
    <row r="5" spans="1:20" ht="25.8" customHeight="1" x14ac:dyDescent="0.3">
      <c r="A5" s="65">
        <f>SUM(Sales_Data!L:L)</f>
        <v>88178490</v>
      </c>
      <c r="B5" s="65"/>
      <c r="C5" s="65"/>
      <c r="D5" s="65"/>
      <c r="E5" s="66">
        <f>COUNTA(Sales_Data!A2:A501)</f>
        <v>500</v>
      </c>
      <c r="F5" s="66"/>
      <c r="G5" s="66"/>
      <c r="H5" s="66"/>
      <c r="I5" s="67">
        <f>AVERAGE(Sales_Data!O2:O501)</f>
        <v>0.30073640000000001</v>
      </c>
      <c r="J5" s="67"/>
      <c r="K5" s="67"/>
      <c r="L5" s="67"/>
      <c r="M5" s="68" t="str">
        <f>INDEX(Regional_Analysis!A3:A7,MATCH(MAX(Regional_Analysis!D3:D7),Regional_Analysis!D3:D7,0))</f>
        <v>South</v>
      </c>
      <c r="N5" s="68"/>
      <c r="O5" s="68"/>
      <c r="P5" s="68"/>
      <c r="Q5" s="69">
        <f>IFERROR(COUNTIF(Sales_Data!P:P,"Yes")/COUNTA(Sales_Data!A2:A501),0)</f>
        <v>0.04</v>
      </c>
      <c r="R5" s="69"/>
      <c r="S5" s="69"/>
      <c r="T5" s="69"/>
    </row>
    <row r="6" spans="1:20" ht="24" customHeight="1" x14ac:dyDescent="0.3">
      <c r="A6" s="70" t="str">
        <f>"vs Target: ₹" &amp; TEXT(SUM(Sales_Data!L:L)/50000000*100,"0.0") &amp; "% of ₹5Cr Goal"</f>
        <v>vs Target: ₹176.4% of ₹5Cr Goal</v>
      </c>
      <c r="B6" s="70"/>
      <c r="C6" s="70"/>
      <c r="D6" s="70"/>
      <c r="E6" s="71" t="str">
        <f>COUNTA(Sales_Data!A2:A501) &amp; " transactions processed"</f>
        <v>500 transactions processed</v>
      </c>
      <c r="F6" s="71"/>
      <c r="G6" s="71"/>
      <c r="H6" s="71"/>
      <c r="I6" s="72" t="s">
        <v>7</v>
      </c>
      <c r="J6" s="72"/>
      <c r="K6" s="72"/>
      <c r="L6" s="72"/>
      <c r="M6" s="73" t="str">
        <f>INDEX(Regional_Analysis!A3:A7,MATCH(MAX(Regional_Analysis!D3:D7),Regional_Analysis!D3:D7,0))&amp;" leads with ₹"&amp;TEXT(MAX(Regional_Analysis!D3:D7),"#,##0")</f>
        <v>South leads with ₹20,329,410</v>
      </c>
      <c r="N6" s="73"/>
      <c r="O6" s="73"/>
      <c r="P6" s="73"/>
      <c r="Q6" s="74" t="str">
        <f>COUNTIF(Sales_Data!P:P,"Yes")&amp;" returns out of 500 orders"</f>
        <v>20 returns out of 500 orders</v>
      </c>
      <c r="R6" s="74"/>
      <c r="S6" s="74"/>
      <c r="T6" s="74"/>
    </row>
    <row r="7" spans="1:20" ht="18" customHeight="1" x14ac:dyDescent="0.3">
      <c r="A7" s="75"/>
      <c r="B7" s="75"/>
      <c r="C7" s="75"/>
      <c r="D7" s="75"/>
      <c r="E7" s="76"/>
      <c r="F7" s="76"/>
      <c r="G7" s="76"/>
      <c r="H7" s="76"/>
      <c r="I7" s="77"/>
      <c r="J7" s="77"/>
      <c r="K7" s="77"/>
      <c r="L7" s="77"/>
      <c r="M7" s="78"/>
      <c r="N7" s="78"/>
      <c r="O7" s="78"/>
      <c r="P7" s="78"/>
      <c r="Q7" s="79"/>
      <c r="R7" s="79"/>
      <c r="S7" s="79"/>
      <c r="T7" s="79"/>
    </row>
    <row r="8" spans="1:20" ht="9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7.5" customHeight="1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5.5" customHeight="1" x14ac:dyDescent="0.3">
      <c r="A10" s="143" t="s">
        <v>8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5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11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18</v>
      </c>
      <c r="K11" s="2" t="s">
        <v>19</v>
      </c>
      <c r="L11" s="112" t="s">
        <v>20</v>
      </c>
      <c r="M11" s="1"/>
      <c r="N11" s="1"/>
      <c r="O11" s="1"/>
      <c r="P11" s="1"/>
      <c r="Q11" s="1"/>
      <c r="R11" s="1"/>
      <c r="S11" s="1"/>
      <c r="T11" s="1"/>
    </row>
    <row r="12" spans="1:20" ht="15" thickBot="1" x14ac:dyDescent="0.35">
      <c r="A12" s="146">
        <f>SUMIF(Sales_Data!C:C,"January",Sales_Data!L:L)</f>
        <v>6580400</v>
      </c>
      <c r="B12" s="147">
        <f>SUMIF(Sales_Data!C:C,"February",Sales_Data!L:L)</f>
        <v>8919190</v>
      </c>
      <c r="C12" s="147">
        <f>SUMIF(Sales_Data!C:C,"March",Sales_Data!L:L)</f>
        <v>5759980</v>
      </c>
      <c r="D12" s="147">
        <f>SUMIF(Sales_Data!C:C,"April",Sales_Data!L:L)</f>
        <v>5818470</v>
      </c>
      <c r="E12" s="147">
        <f>SUMIF(Sales_Data!C:C,"May",Sales_Data!L:L)</f>
        <v>9601970</v>
      </c>
      <c r="F12" s="147">
        <f>SUMIF(Sales_Data!C:C,"June",Sales_Data!L:L)</f>
        <v>6869620</v>
      </c>
      <c r="G12" s="147">
        <f>SUMIF(Sales_Data!C:C,"July",Sales_Data!L:L)</f>
        <v>6966520</v>
      </c>
      <c r="H12" s="147">
        <f>SUMIF(Sales_Data!C:C,"August",Sales_Data!L:L)</f>
        <v>8013470</v>
      </c>
      <c r="I12" s="147">
        <f>SUMIF(Sales_Data!C:C,"September",Sales_Data!L:L)</f>
        <v>5430530</v>
      </c>
      <c r="J12" s="147">
        <f>SUMIF(Sales_Data!C:C,"October",Sales_Data!L:L)</f>
        <v>8198170</v>
      </c>
      <c r="K12" s="147">
        <f>SUMIF(Sales_Data!C:C,"November",Sales_Data!L:L)</f>
        <v>10027570</v>
      </c>
      <c r="L12" s="148">
        <f>SUMIF(Sales_Data!C:C,"December",Sales_Data!L:L)</f>
        <v>5992600</v>
      </c>
      <c r="M12" s="1"/>
      <c r="N12" s="1"/>
      <c r="O12" s="1"/>
      <c r="P12" s="1"/>
      <c r="Q12" s="1"/>
      <c r="R12" s="1"/>
      <c r="S12" s="1"/>
      <c r="T12" s="1"/>
    </row>
    <row r="13" spans="1:20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25.5" customHeight="1" x14ac:dyDescent="0.3">
      <c r="A14" s="108" t="s">
        <v>21</v>
      </c>
      <c r="B14" s="109"/>
      <c r="C14" s="109"/>
      <c r="D14" s="109"/>
      <c r="E14" s="109"/>
      <c r="F14" s="109"/>
      <c r="G14" s="11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11" t="s">
        <v>22</v>
      </c>
      <c r="B15" s="2" t="s">
        <v>23</v>
      </c>
      <c r="C15" s="2" t="s">
        <v>24</v>
      </c>
      <c r="D15" s="2" t="s">
        <v>25</v>
      </c>
      <c r="E15" s="2" t="s">
        <v>26</v>
      </c>
      <c r="F15" s="2" t="s">
        <v>27</v>
      </c>
      <c r="G15" s="112" t="s">
        <v>28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13" t="s">
        <v>29</v>
      </c>
      <c r="B16" s="3">
        <f>SUMIF(Sales_Data!E:E,A16,Sales_Data!L:L)</f>
        <v>16101730</v>
      </c>
      <c r="C16" s="4">
        <f>COUNTIF(Sales_Data!E:E,A16)</f>
        <v>94</v>
      </c>
      <c r="D16" s="5">
        <f>IFERROR(SUMIF(Sales_Data!E:E,A16,Sales_Data!N:N)/SUMIF(Sales_Data!E:E,A16,Sales_Data!L:L),0)</f>
        <v>0.28347222006579426</v>
      </c>
      <c r="E16" s="5">
        <f>IFERROR(B16/SUM($B$16:$B$20),0)</f>
        <v>0.18260383002702812</v>
      </c>
      <c r="F16" s="4">
        <f>RANK(B16,$B$16:$B$20,0)</f>
        <v>4</v>
      </c>
      <c r="G16" s="114">
        <f>COUNTIFS(Sales_Data!E:E,A16,Sales_Data!P:P,"Yes")</f>
        <v>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15" t="s">
        <v>30</v>
      </c>
      <c r="B17" s="6">
        <f>SUMIF(Sales_Data!E:E,A17,Sales_Data!L:L)</f>
        <v>20329410</v>
      </c>
      <c r="C17" s="7">
        <f>COUNTIF(Sales_Data!E:E,A17)</f>
        <v>114</v>
      </c>
      <c r="D17" s="8">
        <f>IFERROR(SUMIF(Sales_Data!E:E,A17,Sales_Data!N:N)/SUMIF(Sales_Data!E:E,A17,Sales_Data!L:L),0)</f>
        <v>0.26271958507403803</v>
      </c>
      <c r="E17" s="8">
        <f>IFERROR(B17/SUM($B$16:$B$20),0)</f>
        <v>0.2305484024505296</v>
      </c>
      <c r="F17" s="7">
        <f>RANK(B17,$B$16:$B$20,0)</f>
        <v>1</v>
      </c>
      <c r="G17" s="116">
        <f>COUNTIFS(Sales_Data!E:E,A17,Sales_Data!P:P,"Yes")</f>
        <v>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13" t="s">
        <v>31</v>
      </c>
      <c r="B18" s="3">
        <f>SUMIF(Sales_Data!E:E,A18,Sales_Data!L:L)</f>
        <v>18011490</v>
      </c>
      <c r="C18" s="4">
        <f>COUNTIF(Sales_Data!E:E,A18)</f>
        <v>92</v>
      </c>
      <c r="D18" s="5">
        <f>IFERROR(SUMIF(Sales_Data!E:E,A18,Sales_Data!N:N)/SUMIF(Sales_Data!E:E,A18,Sales_Data!L:L),0)</f>
        <v>0.27351341449263772</v>
      </c>
      <c r="E18" s="5">
        <f>IFERROR(B18/SUM($B$16:$B$20),0)</f>
        <v>0.20426171960985043</v>
      </c>
      <c r="F18" s="4">
        <f>RANK(B18,$B$16:$B$20,0)</f>
        <v>3</v>
      </c>
      <c r="G18" s="114">
        <f>COUNTIFS(Sales_Data!E:E,A18,Sales_Data!P:P,"Yes")</f>
        <v>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15" t="s">
        <v>32</v>
      </c>
      <c r="B19" s="6">
        <f>SUMIF(Sales_Data!E:E,A19,Sales_Data!L:L)</f>
        <v>13755920</v>
      </c>
      <c r="C19" s="7">
        <f>COUNTIF(Sales_Data!E:E,A19)</f>
        <v>89</v>
      </c>
      <c r="D19" s="8">
        <f>IFERROR(SUMIF(Sales_Data!E:E,A19,Sales_Data!N:N)/SUMIF(Sales_Data!E:E,A19,Sales_Data!L:L),0)</f>
        <v>0.293929967606674</v>
      </c>
      <c r="E19" s="8">
        <f>IFERROR(B19/SUM($B$16:$B$20),0)</f>
        <v>0.15600085689832066</v>
      </c>
      <c r="F19" s="7">
        <f>RANK(B19,$B$16:$B$20,0)</f>
        <v>5</v>
      </c>
      <c r="G19" s="116">
        <f>COUNTIFS(Sales_Data!E:E,A19,Sales_Data!P:P,"Yes")</f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" thickBot="1" x14ac:dyDescent="0.35">
      <c r="A20" s="117" t="s">
        <v>33</v>
      </c>
      <c r="B20" s="118">
        <f>SUMIF(Sales_Data!E:E,A20,Sales_Data!L:L)</f>
        <v>19979940</v>
      </c>
      <c r="C20" s="119">
        <f>COUNTIF(Sales_Data!E:E,A20)</f>
        <v>111</v>
      </c>
      <c r="D20" s="120">
        <f>IFERROR(SUMIF(Sales_Data!E:E,A20,Sales_Data!N:N)/SUMIF(Sales_Data!E:E,A20,Sales_Data!L:L),0)</f>
        <v>0.27947021462526916</v>
      </c>
      <c r="E20" s="120">
        <f>IFERROR(B20/SUM($B$16:$B$20),0)</f>
        <v>0.22658519101427116</v>
      </c>
      <c r="F20" s="119">
        <f>RANK(B20,$B$16:$B$20,0)</f>
        <v>2</v>
      </c>
      <c r="G20" s="121">
        <f>COUNTIFS(Sales_Data!E:E,A20,Sales_Data!P:P,"Yes")</f>
        <v>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25.5" customHeight="1" x14ac:dyDescent="0.3">
      <c r="A22" s="108" t="s">
        <v>34</v>
      </c>
      <c r="B22" s="109"/>
      <c r="C22" s="109"/>
      <c r="D22" s="109"/>
      <c r="E22" s="109"/>
      <c r="F22" s="11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11" t="s">
        <v>35</v>
      </c>
      <c r="B23" s="2" t="s">
        <v>23</v>
      </c>
      <c r="C23" s="2" t="s">
        <v>36</v>
      </c>
      <c r="D23" s="2" t="s">
        <v>25</v>
      </c>
      <c r="E23" s="2" t="s">
        <v>24</v>
      </c>
      <c r="F23" s="112" t="s">
        <v>37</v>
      </c>
      <c r="G23" s="5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113" t="s">
        <v>38</v>
      </c>
      <c r="B24" s="3">
        <f>SUMIF(Sales_Data!G:G,A24,Sales_Data!L:L)</f>
        <v>46970140</v>
      </c>
      <c r="C24" s="4">
        <f>SUMIF(Sales_Data!G:G,A24,Sales_Data!J:J)</f>
        <v>1033</v>
      </c>
      <c r="D24" s="5">
        <f>IFERROR(SUMIF(Sales_Data!G:G,A24,Sales_Data!N:N)/SUMIF(Sales_Data!G:G,A24,Sales_Data!L:L),0)</f>
        <v>0.22342615010302283</v>
      </c>
      <c r="E24" s="4">
        <f>COUNTIF(Sales_Data!G:G,A24)</f>
        <v>91</v>
      </c>
      <c r="F24" s="122">
        <f>IFERROR(COUNTIFS(Sales_Data!G:G,A24,Sales_Data!P:P,"Yes")/COUNTIF(Sales_Data!G:G,A24),0)</f>
        <v>6.5934065934065936E-2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15" t="s">
        <v>39</v>
      </c>
      <c r="B25" s="6">
        <f>SUMIF(Sales_Data!G:G,A25,Sales_Data!L:L)</f>
        <v>2941370</v>
      </c>
      <c r="C25" s="7">
        <f>SUMIF(Sales_Data!G:G,A25,Sales_Data!J:J)</f>
        <v>969</v>
      </c>
      <c r="D25" s="8">
        <f>IFERROR(SUMIF(Sales_Data!G:G,A25,Sales_Data!N:N)/SUMIF(Sales_Data!G:G,A25,Sales_Data!L:L),0)</f>
        <v>0.44848072836807323</v>
      </c>
      <c r="E25" s="7">
        <f>COUNTIF(Sales_Data!G:G,A25)</f>
        <v>86</v>
      </c>
      <c r="F25" s="123">
        <f>IFERROR(COUNTIFS(Sales_Data!G:G,A25,Sales_Data!P:P,"Yes")/COUNTIF(Sales_Data!G:G,A25),0)</f>
        <v>2.3255813953488372E-2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13" t="s">
        <v>40</v>
      </c>
      <c r="B26" s="3">
        <f>SUMIF(Sales_Data!G:G,A26,Sales_Data!L:L)</f>
        <v>1224330</v>
      </c>
      <c r="C26" s="4">
        <f>SUMIF(Sales_Data!G:G,A26,Sales_Data!J:J)</f>
        <v>1050</v>
      </c>
      <c r="D26" s="5">
        <f>IFERROR(SUMIF(Sales_Data!G:G,A26,Sales_Data!N:N)/SUMIF(Sales_Data!G:G,A26,Sales_Data!L:L),0)</f>
        <v>0.18633068698798527</v>
      </c>
      <c r="E26" s="4">
        <f>COUNTIF(Sales_Data!G:G,A26)</f>
        <v>97</v>
      </c>
      <c r="F26" s="122">
        <f>IFERROR(COUNTIFS(Sales_Data!G:G,A26,Sales_Data!P:P,"Yes")/COUNTIF(Sales_Data!G:G,A26),0)</f>
        <v>4.1237113402061855E-2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115" t="s">
        <v>41</v>
      </c>
      <c r="B27" s="6">
        <f>SUMIF(Sales_Data!G:G,A27,Sales_Data!L:L)</f>
        <v>28889360</v>
      </c>
      <c r="C27" s="7">
        <f>SUMIF(Sales_Data!G:G,A27,Sales_Data!J:J)</f>
        <v>1218</v>
      </c>
      <c r="D27" s="8">
        <f>IFERROR(SUMIF(Sales_Data!G:G,A27,Sales_Data!N:N)/SUMIF(Sales_Data!G:G,A27,Sales_Data!L:L),0)</f>
        <v>0.34628232366518336</v>
      </c>
      <c r="E27" s="7">
        <f>COUNTIF(Sales_Data!G:G,A27)</f>
        <v>119</v>
      </c>
      <c r="F27" s="123">
        <f>IFERROR(COUNTIFS(Sales_Data!G:G,A27,Sales_Data!P:P,"Yes")/COUNTIF(Sales_Data!G:G,A27),0)</f>
        <v>4.2016806722689079E-2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" thickBot="1" x14ac:dyDescent="0.35">
      <c r="A28" s="117" t="s">
        <v>42</v>
      </c>
      <c r="B28" s="118">
        <f>SUMIF(Sales_Data!G:G,A28,Sales_Data!L:L)</f>
        <v>8153290</v>
      </c>
      <c r="C28" s="119">
        <f>SUMIF(Sales_Data!G:G,A28,Sales_Data!J:J)</f>
        <v>1084</v>
      </c>
      <c r="D28" s="120">
        <f>IFERROR(SUMIF(Sales_Data!G:G,A28,Sales_Data!N:N)/SUMIF(Sales_Data!G:G,A28,Sales_Data!L:L),0)</f>
        <v>0.29598805022267083</v>
      </c>
      <c r="E28" s="119">
        <f>COUNTIF(Sales_Data!G:G,A28)</f>
        <v>107</v>
      </c>
      <c r="F28" s="124">
        <f>IFERROR(COUNTIFS(Sales_Data!G:G,A28,Sales_Data!P:P,"Yes")/COUNTIF(Sales_Data!G:G,A28),0)</f>
        <v>2.8037383177570093E-2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25.5" customHeight="1" x14ac:dyDescent="0.3">
      <c r="A30" s="108" t="s">
        <v>43</v>
      </c>
      <c r="B30" s="109"/>
      <c r="C30" s="109"/>
      <c r="D30" s="109"/>
      <c r="E30" s="109"/>
      <c r="F30" s="11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111" t="s">
        <v>27</v>
      </c>
      <c r="B31" s="2" t="s">
        <v>44</v>
      </c>
      <c r="C31" s="2" t="s">
        <v>22</v>
      </c>
      <c r="D31" s="2" t="s">
        <v>23</v>
      </c>
      <c r="E31" s="2" t="s">
        <v>25</v>
      </c>
      <c r="F31" s="112" t="s">
        <v>45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125" t="s">
        <v>46</v>
      </c>
      <c r="B32" s="9" t="str">
        <f>INDEX(Salesperson_Scorecard!$A$4:$A$13,MATCH(LARGE(Salesperson_Scorecard!$E$4:$E$13,1),Salesperson_Scorecard!$E$4:$E$13,0))</f>
        <v>Rahul Gupta</v>
      </c>
      <c r="C32" s="9" t="str">
        <f>INDEX(Salesperson_Scorecard!$B$4:$B$13,MATCH(LARGE(Salesperson_Scorecard!$E$4:$E$13,1),Salesperson_Scorecard!$E$4:$E$13,0))</f>
        <v>South</v>
      </c>
      <c r="D32" s="10">
        <f>LARGE(Salesperson_Scorecard!$E$4:$E$13,1)</f>
        <v>13650710</v>
      </c>
      <c r="E32" s="11">
        <f>INDEX(Salesperson_Scorecard!$G$4:$G$13,MATCH(LARGE(Salesperson_Scorecard!$E$4:$E$13,1),Salesperson_Scorecard!$E$4:$E$13,0))</f>
        <v>0.2492927005261997</v>
      </c>
      <c r="F32" s="126" t="str">
        <f>INDEX(Salesperson_Scorecard!$J$4:$J$13,MATCH(LARGE(Salesperson_Scorecard!$E$4:$E$13,1),Salesperson_Scorecard!$E$4:$E$13,0))</f>
        <v>⭐ Excellent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127" t="s">
        <v>47</v>
      </c>
      <c r="B33" s="12" t="str">
        <f>INDEX(Salesperson_Scorecard!$A$4:$A$13,MATCH(LARGE(Salesperson_Scorecard!$E$4:$E$13,2),Salesperson_Scorecard!$E$4:$E$13,0))</f>
        <v>Suresh Kumar</v>
      </c>
      <c r="C33" s="12" t="str">
        <f>INDEX(Salesperson_Scorecard!$B$4:$B$13,MATCH(LARGE(Salesperson_Scorecard!$E$4:$E$13,2),Salesperson_Scorecard!$E$4:$E$13,0))</f>
        <v>Central</v>
      </c>
      <c r="D33" s="13">
        <f>LARGE(Salesperson_Scorecard!$E$4:$E$13,2)</f>
        <v>11511390</v>
      </c>
      <c r="E33" s="14">
        <f>INDEX(Salesperson_Scorecard!$G$4:$G$13,MATCH(LARGE(Salesperson_Scorecard!$E$4:$E$13,2),Salesperson_Scorecard!$E$4:$E$13,0))</f>
        <v>0.28254722062235738</v>
      </c>
      <c r="F33" s="128" t="str">
        <f>INDEX(Salesperson_Scorecard!$J$4:$J$13,MATCH(LARGE(Salesperson_Scorecard!$E$4:$E$13,2),Salesperson_Scorecard!$E$4:$E$13,0))</f>
        <v>⭐ Excellent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25" t="s">
        <v>48</v>
      </c>
      <c r="B34" s="9" t="str">
        <f>INDEX(Salesperson_Scorecard!$A$4:$A$13,MATCH(LARGE(Salesperson_Scorecard!$E$4:$E$13,3),Salesperson_Scorecard!$E$4:$E$13,0))</f>
        <v>Amit Singh</v>
      </c>
      <c r="C34" s="9" t="str">
        <f>INDEX(Salesperson_Scorecard!$B$4:$B$13,MATCH(LARGE(Salesperson_Scorecard!$E$4:$E$13,3),Salesperson_Scorecard!$E$4:$E$13,0))</f>
        <v>East</v>
      </c>
      <c r="D34" s="10">
        <f>LARGE(Salesperson_Scorecard!$E$4:$E$13,3)</f>
        <v>9674340</v>
      </c>
      <c r="E34" s="11">
        <f>INDEX(Salesperson_Scorecard!$G$4:$G$13,MATCH(LARGE(Salesperson_Scorecard!$E$4:$E$13,3),Salesperson_Scorecard!$E$4:$E$13,0))</f>
        <v>0.27407563513376626</v>
      </c>
      <c r="F34" s="126" t="str">
        <f>INDEX(Salesperson_Scorecard!$J$4:$J$13,MATCH(LARGE(Salesperson_Scorecard!$E$4:$E$13,3),Salesperson_Scorecard!$E$4:$E$13,0))</f>
        <v>⭐ Excellent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127">
        <v>4</v>
      </c>
      <c r="B35" s="12" t="str">
        <f>INDEX(Salesperson_Scorecard!$A$4:$A$13,MATCH(LARGE(Salesperson_Scorecard!$E$4:$E$13,4),Salesperson_Scorecard!$E$4:$E$13,0))</f>
        <v>Arjun Sharma</v>
      </c>
      <c r="C35" s="12" t="str">
        <f>INDEX(Salesperson_Scorecard!$B$4:$B$13,MATCH(LARGE(Salesperson_Scorecard!$E$4:$E$13,4),Salesperson_Scorecard!$E$4:$E$13,0))</f>
        <v>North</v>
      </c>
      <c r="D35" s="13">
        <f>LARGE(Salesperson_Scorecard!$E$4:$E$13,4)</f>
        <v>8979690</v>
      </c>
      <c r="E35" s="14">
        <f>INDEX(Salesperson_Scorecard!$G$4:$G$13,MATCH(LARGE(Salesperson_Scorecard!$E$4:$E$13,4),Salesperson_Scorecard!$E$4:$E$13,0))</f>
        <v>0.27551818603982986</v>
      </c>
      <c r="F35" s="128" t="str">
        <f>INDEX(Salesperson_Scorecard!$J$4:$J$13,MATCH(LARGE(Salesperson_Scorecard!$E$4:$E$13,4),Salesperson_Scorecard!$E$4:$E$13,0))</f>
        <v>⭐ Excellent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125">
        <v>5</v>
      </c>
      <c r="B36" s="9" t="str">
        <f>INDEX(Salesperson_Scorecard!$A$4:$A$13,MATCH(LARGE(Salesperson_Scorecard!$E$4:$E$13,5),Salesperson_Scorecard!$E$4:$E$13,0))</f>
        <v>Meera Joshi</v>
      </c>
      <c r="C36" s="9" t="str">
        <f>INDEX(Salesperson_Scorecard!$B$4:$B$13,MATCH(LARGE(Salesperson_Scorecard!$E$4:$E$13,5),Salesperson_Scorecard!$E$4:$E$13,0))</f>
        <v>Central</v>
      </c>
      <c r="D36" s="10">
        <f>LARGE(Salesperson_Scorecard!$E$4:$E$13,5)</f>
        <v>8468550</v>
      </c>
      <c r="E36" s="11">
        <f>INDEX(Salesperson_Scorecard!$G$4:$G$13,MATCH(LARGE(Salesperson_Scorecard!$E$4:$E$13,5),Salesperson_Scorecard!$E$4:$E$13,0))</f>
        <v>0.27528760767781973</v>
      </c>
      <c r="F36" s="126" t="str">
        <f>INDEX(Salesperson_Scorecard!$J$4:$J$13,MATCH(LARGE(Salesperson_Scorecard!$E$4:$E$13,5),Salesperson_Scorecard!$E$4:$E$13,0))</f>
        <v>⭐ Excellent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127">
        <v>6</v>
      </c>
      <c r="B37" s="12" t="str">
        <f>INDEX(Salesperson_Scorecard!$A$4:$A$13,MATCH(LARGE(Salesperson_Scorecard!$E$4:$E$13,6),Salesperson_Scorecard!$E$4:$E$13,0))</f>
        <v>Kavya Nair</v>
      </c>
      <c r="C37" s="12" t="str">
        <f>INDEX(Salesperson_Scorecard!$B$4:$B$13,MATCH(LARGE(Salesperson_Scorecard!$E$4:$E$13,6),Salesperson_Scorecard!$E$4:$E$13,0))</f>
        <v>East</v>
      </c>
      <c r="D37" s="13">
        <f>LARGE(Salesperson_Scorecard!$E$4:$E$13,6)</f>
        <v>8337150</v>
      </c>
      <c r="E37" s="14">
        <f>INDEX(Salesperson_Scorecard!$G$4:$G$13,MATCH(LARGE(Salesperson_Scorecard!$E$4:$E$13,6),Salesperson_Scorecard!$E$4:$E$13,0))</f>
        <v>0.27286101965299886</v>
      </c>
      <c r="F37" s="128" t="str">
        <f>INDEX(Salesperson_Scorecard!$J$4:$J$13,MATCH(LARGE(Salesperson_Scorecard!$E$4:$E$13,6),Salesperson_Scorecard!$E$4:$E$13,0))</f>
        <v>⭐ Excellent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125">
        <v>7</v>
      </c>
      <c r="B38" s="9" t="str">
        <f>INDEX(Salesperson_Scorecard!$A$4:$A$13,MATCH(LARGE(Salesperson_Scorecard!$E$4:$E$13,7),Salesperson_Scorecard!$E$4:$E$13,0))</f>
        <v>Priya Patel</v>
      </c>
      <c r="C38" s="9" t="str">
        <f>INDEX(Salesperson_Scorecard!$B$4:$B$13,MATCH(LARGE(Salesperson_Scorecard!$E$4:$E$13,7),Salesperson_Scorecard!$E$4:$E$13,0))</f>
        <v>North</v>
      </c>
      <c r="D38" s="10">
        <f>LARGE(Salesperson_Scorecard!$E$4:$E$13,7)</f>
        <v>7122040</v>
      </c>
      <c r="E38" s="11">
        <f>INDEX(Salesperson_Scorecard!$G$4:$G$13,MATCH(LARGE(Salesperson_Scorecard!$E$4:$E$13,7),Salesperson_Scorecard!$E$4:$E$13,0))</f>
        <v>0.29350091406394802</v>
      </c>
      <c r="F38" s="126" t="str">
        <f>INDEX(Salesperson_Scorecard!$J$4:$J$13,MATCH(LARGE(Salesperson_Scorecard!$E$4:$E$13,7),Salesperson_Scorecard!$E$4:$E$13,0))</f>
        <v>⭐ Excellent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127">
        <v>8</v>
      </c>
      <c r="B39" s="12" t="str">
        <f>INDEX(Salesperson_Scorecard!$A$4:$A$13,MATCH(LARGE(Salesperson_Scorecard!$E$4:$E$13,8),Salesperson_Scorecard!$E$4:$E$13,0))</f>
        <v>Rohan Mehta</v>
      </c>
      <c r="C39" s="12" t="str">
        <f>INDEX(Salesperson_Scorecard!$B$4:$B$13,MATCH(LARGE(Salesperson_Scorecard!$E$4:$E$13,8),Salesperson_Scorecard!$E$4:$E$13,0))</f>
        <v>West</v>
      </c>
      <c r="D39" s="13">
        <f>LARGE(Salesperson_Scorecard!$E$4:$E$13,8)</f>
        <v>6920960</v>
      </c>
      <c r="E39" s="14">
        <f>INDEX(Salesperson_Scorecard!$G$4:$G$13,MATCH(LARGE(Salesperson_Scorecard!$E$4:$E$13,8),Salesperson_Scorecard!$E$4:$E$13,0))</f>
        <v>0.27634747347188832</v>
      </c>
      <c r="F39" s="128" t="str">
        <f>INDEX(Salesperson_Scorecard!$J$4:$J$13,MATCH(LARGE(Salesperson_Scorecard!$E$4:$E$13,8),Salesperson_Scorecard!$E$4:$E$13,0))</f>
        <v>⭐ Excellent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125">
        <v>9</v>
      </c>
      <c r="B40" s="9" t="str">
        <f>INDEX(Salesperson_Scorecard!$A$4:$A$13,MATCH(LARGE(Salesperson_Scorecard!$E$4:$E$13,9),Salesperson_Scorecard!$E$4:$E$13,0))</f>
        <v>Divya Iyer</v>
      </c>
      <c r="C40" s="9" t="str">
        <f>INDEX(Salesperson_Scorecard!$B$4:$B$13,MATCH(LARGE(Salesperson_Scorecard!$E$4:$E$13,9),Salesperson_Scorecard!$E$4:$E$13,0))</f>
        <v>West</v>
      </c>
      <c r="D40" s="10">
        <f>LARGE(Salesperson_Scorecard!$E$4:$E$13,9)</f>
        <v>6834960</v>
      </c>
      <c r="E40" s="11">
        <f>INDEX(Salesperson_Scorecard!$G$4:$G$13,MATCH(LARGE(Salesperson_Scorecard!$E$4:$E$13,9),Salesperson_Scorecard!$E$4:$E$13,0))</f>
        <v>0.31173369119936334</v>
      </c>
      <c r="F40" s="126" t="str">
        <f>INDEX(Salesperson_Scorecard!$J$4:$J$13,MATCH(LARGE(Salesperson_Scorecard!$E$4:$E$13,9),Salesperson_Scorecard!$E$4:$E$13,0))</f>
        <v>⭐ Excellent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" thickBot="1" x14ac:dyDescent="0.35">
      <c r="A41" s="129">
        <v>10</v>
      </c>
      <c r="B41" s="130" t="str">
        <f>INDEX(Salesperson_Scorecard!$A$4:$A$13,MATCH(LARGE(Salesperson_Scorecard!$E$4:$E$13,10),Salesperson_Scorecard!$E$4:$E$13,0))</f>
        <v>Sneha Reddy</v>
      </c>
      <c r="C41" s="130" t="str">
        <f>INDEX(Salesperson_Scorecard!$B$4:$B$13,MATCH(LARGE(Salesperson_Scorecard!$E$4:$E$13,10),Salesperson_Scorecard!$E$4:$E$13,0))</f>
        <v>South</v>
      </c>
      <c r="D41" s="131">
        <f>LARGE(Salesperson_Scorecard!$E$4:$E$13,10)</f>
        <v>6678700</v>
      </c>
      <c r="E41" s="132">
        <f>INDEX(Salesperson_Scorecard!$G$4:$G$13,MATCH(LARGE(Salesperson_Scorecard!$E$4:$E$13,10),Salesperson_Scorecard!$E$4:$E$13,0))</f>
        <v>0.29016302573854191</v>
      </c>
      <c r="F41" s="133" t="str">
        <f>INDEX(Salesperson_Scorecard!$J$4:$J$13,MATCH(LARGE(Salesperson_Scorecard!$E$4:$E$13,10),Salesperson_Scorecard!$E$4:$E$13,0))</f>
        <v>⭐ Excellent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25.5" customHeight="1" x14ac:dyDescent="0.3">
      <c r="A43" s="108" t="s">
        <v>49</v>
      </c>
      <c r="B43" s="109"/>
      <c r="C43" s="109"/>
      <c r="D43" s="109"/>
      <c r="E43" s="109"/>
      <c r="F43" s="109"/>
      <c r="G43" s="109"/>
      <c r="H43" s="110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111" t="s">
        <v>50</v>
      </c>
      <c r="B44" s="2" t="s">
        <v>23</v>
      </c>
      <c r="C44" s="2" t="s">
        <v>24</v>
      </c>
      <c r="D44" s="2" t="s">
        <v>51</v>
      </c>
      <c r="E44" s="2" t="s">
        <v>25</v>
      </c>
      <c r="F44" s="2" t="s">
        <v>36</v>
      </c>
      <c r="G44" s="2" t="s">
        <v>28</v>
      </c>
      <c r="H44" s="112" t="s">
        <v>52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134" t="s">
        <v>53</v>
      </c>
      <c r="B45" s="13">
        <f>SUMIF(Sales_Data!D:D,A45,Sales_Data!L:L)</f>
        <v>21259570</v>
      </c>
      <c r="C45" s="12">
        <f>COUNTIF(Sales_Data!D:D,A45)</f>
        <v>124</v>
      </c>
      <c r="D45" s="13">
        <f>SUMIF(Sales_Data!D:D,A45,Sales_Data!N:N)</f>
        <v>6053272.9200000009</v>
      </c>
      <c r="E45" s="14">
        <f>IFERROR(D45/B45,0)</f>
        <v>0.28473167237154845</v>
      </c>
      <c r="F45" s="12">
        <f>SUMIF(Sales_Data!D:D,A45,Sales_Data!J:J)</f>
        <v>1397</v>
      </c>
      <c r="G45" s="12">
        <f>COUNTIFS(Sales_Data!D:D,A45,Sales_Data!P:P,"Yes")</f>
        <v>9</v>
      </c>
      <c r="H45" s="128" t="s">
        <v>54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135" t="s">
        <v>55</v>
      </c>
      <c r="B46" s="10">
        <f>SUMIF(Sales_Data!D:D,A46,Sales_Data!L:L)</f>
        <v>22290060</v>
      </c>
      <c r="C46" s="9">
        <f>COUNTIF(Sales_Data!D:D,A46)</f>
        <v>118</v>
      </c>
      <c r="D46" s="10">
        <f>SUMIF(Sales_Data!D:D,A46,Sales_Data!N:N)</f>
        <v>6042223.1500000004</v>
      </c>
      <c r="E46" s="11">
        <f>IFERROR(D46/B46,0)</f>
        <v>0.27107253861138103</v>
      </c>
      <c r="F46" s="9">
        <f>SUMIF(Sales_Data!D:D,A46,Sales_Data!J:J)</f>
        <v>1246</v>
      </c>
      <c r="G46" s="9">
        <f>COUNTIFS(Sales_Data!D:D,A46,Sales_Data!P:P,"Yes")</f>
        <v>4</v>
      </c>
      <c r="H46" s="136">
        <f>IFERROR((B46-B45)/B45,0)</f>
        <v>4.8471817633188252E-2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134" t="s">
        <v>56</v>
      </c>
      <c r="B47" s="13">
        <f>SUMIF(Sales_Data!D:D,A47,Sales_Data!L:L)</f>
        <v>20410520</v>
      </c>
      <c r="C47" s="12">
        <f>COUNTIF(Sales_Data!D:D,A47)</f>
        <v>109</v>
      </c>
      <c r="D47" s="13">
        <f>SUMIF(Sales_Data!D:D,A47,Sales_Data!N:N)</f>
        <v>5450371.2200000016</v>
      </c>
      <c r="E47" s="14">
        <f>IFERROR(D47/B47,0)</f>
        <v>0.26703735230655573</v>
      </c>
      <c r="F47" s="12">
        <f>SUMIF(Sales_Data!D:D,A47,Sales_Data!J:J)</f>
        <v>1132</v>
      </c>
      <c r="G47" s="12">
        <f>COUNTIFS(Sales_Data!D:D,A47,Sales_Data!P:P,"Yes")</f>
        <v>2</v>
      </c>
      <c r="H47" s="137">
        <f>IFERROR((B47-B46)/B46,0)</f>
        <v>-8.4321890564673221E-2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" thickBot="1" x14ac:dyDescent="0.35">
      <c r="A48" s="138" t="s">
        <v>57</v>
      </c>
      <c r="B48" s="139">
        <f>SUMIF(Sales_Data!D:D,A48,Sales_Data!L:L)</f>
        <v>24218340</v>
      </c>
      <c r="C48" s="140">
        <f>COUNTIF(Sales_Data!D:D,A48)</f>
        <v>149</v>
      </c>
      <c r="D48" s="139">
        <f>SUMIF(Sales_Data!D:D,A48,Sales_Data!N:N)</f>
        <v>6912919.3900000006</v>
      </c>
      <c r="E48" s="141">
        <f>IFERROR(D48/B48,0)</f>
        <v>0.28544150383552302</v>
      </c>
      <c r="F48" s="140">
        <f>SUMIF(Sales_Data!D:D,A48,Sales_Data!J:J)</f>
        <v>1579</v>
      </c>
      <c r="G48" s="140">
        <f>COUNTIFS(Sales_Data!D:D,A48,Sales_Data!P:P,"Yes")</f>
        <v>5</v>
      </c>
      <c r="H48" s="142">
        <f>IFERROR((B48-B47)/B47,0)</f>
        <v>0.18656163586229063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7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25.5" customHeight="1" x14ac:dyDescent="0.3">
      <c r="A51" s="80" t="s">
        <v>58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</row>
    <row r="52" spans="1:20" x14ac:dyDescent="0.3">
      <c r="A52" s="81" t="s">
        <v>59</v>
      </c>
      <c r="B52" s="81"/>
      <c r="C52" s="81"/>
      <c r="D52" s="81"/>
      <c r="E52" s="82" t="s">
        <v>60</v>
      </c>
      <c r="F52" s="82"/>
      <c r="G52" s="82"/>
      <c r="H52" s="82"/>
      <c r="I52" s="82"/>
      <c r="J52" s="83" t="s">
        <v>61</v>
      </c>
      <c r="K52" s="83"/>
      <c r="L52" s="83"/>
      <c r="M52" s="83"/>
      <c r="N52" s="83"/>
      <c r="O52" s="84" t="s">
        <v>62</v>
      </c>
      <c r="P52" s="84"/>
      <c r="Q52" s="84"/>
      <c r="R52" s="84"/>
      <c r="S52" s="84"/>
      <c r="T52" s="84"/>
    </row>
    <row r="53" spans="1:20" x14ac:dyDescent="0.3">
      <c r="A53" s="85" t="str">
        <f>IF(SUM(Sales_Data!L:L)&lt;50000000,"⚠️ Revenue below ₹5Cr target — review low-performing regions","✅ Revenue on track — exceeding annual target")</f>
        <v>✅ Revenue on track — exceeding annual target</v>
      </c>
      <c r="B53" s="85"/>
      <c r="C53" s="85"/>
      <c r="D53" s="85"/>
      <c r="E53" s="87" t="str">
        <f>"Best month: "&amp;INDEX(Monthly_Summary!A4:A15,MATCH(MAX(Monthly_Summary!D4:D15),Monthly_Summary!D4:D15,0))&amp;" with ₹"&amp;TEXT(MAX(Monthly_Summary!D4:D15),"#,##0")</f>
        <v>Best month: November with ₹10,027,570</v>
      </c>
      <c r="F53" s="87"/>
      <c r="G53" s="87"/>
      <c r="H53" s="87"/>
      <c r="I53" s="87"/>
      <c r="J53" s="89" t="str">
        <f>IF(COUNTIF(Sales_Data!P:P,"Yes")/500&gt;0.08,"⚠️ Return rate above 8% — investigate product quality","✅ Return rate within acceptable limit (&lt;8%)")</f>
        <v>✅ Return rate within acceptable limit (&lt;8%)</v>
      </c>
      <c r="K53" s="89"/>
      <c r="L53" s="89"/>
      <c r="M53" s="89"/>
      <c r="N53" s="89"/>
      <c r="O53" s="91" t="str">
        <f>"Best category: "&amp;INDEX(Regional_Analysis!A12:A16,MATCH(MAX(Regional_Analysis!D12:D16),Regional_Analysis!D12:D16,0))&amp;" | Revenue: ₹"&amp;TEXT(MAX(Regional_Analysis!D12:D16),"#,##0")</f>
        <v>Best category: Electronics | Revenue: ₹46,970,140</v>
      </c>
      <c r="P53" s="91"/>
      <c r="Q53" s="91"/>
      <c r="R53" s="91"/>
      <c r="S53" s="91"/>
      <c r="T53" s="91"/>
    </row>
    <row r="54" spans="1:20" x14ac:dyDescent="0.3">
      <c r="A54" s="85"/>
      <c r="B54" s="85"/>
      <c r="C54" s="85"/>
      <c r="D54" s="85"/>
      <c r="E54" s="87"/>
      <c r="F54" s="87"/>
      <c r="G54" s="87"/>
      <c r="H54" s="87"/>
      <c r="I54" s="87"/>
      <c r="J54" s="89"/>
      <c r="K54" s="89"/>
      <c r="L54" s="89"/>
      <c r="M54" s="89"/>
      <c r="N54" s="89"/>
      <c r="O54" s="91"/>
      <c r="P54" s="91"/>
      <c r="Q54" s="91"/>
      <c r="R54" s="91"/>
      <c r="S54" s="91"/>
      <c r="T54" s="91"/>
    </row>
    <row r="55" spans="1:20" x14ac:dyDescent="0.3">
      <c r="A55" s="86"/>
      <c r="B55" s="86"/>
      <c r="C55" s="86"/>
      <c r="D55" s="86"/>
      <c r="E55" s="88"/>
      <c r="F55" s="88"/>
      <c r="G55" s="88"/>
      <c r="H55" s="88"/>
      <c r="I55" s="88"/>
      <c r="J55" s="90"/>
      <c r="K55" s="90"/>
      <c r="L55" s="90"/>
      <c r="M55" s="90"/>
      <c r="N55" s="90"/>
      <c r="O55" s="92"/>
      <c r="P55" s="92"/>
      <c r="Q55" s="92"/>
      <c r="R55" s="92"/>
      <c r="S55" s="92"/>
      <c r="T55" s="92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7.5" customHeight="1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" customHeight="1" x14ac:dyDescent="0.3">
      <c r="A58" s="93" t="s">
        <v>63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5"/>
    </row>
    <row r="59" spans="1:20" x14ac:dyDescent="0.3">
      <c r="A59" s="96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8"/>
    </row>
    <row r="60" spans="1:20" ht="15" thickBot="1" x14ac:dyDescent="0.35">
      <c r="A60" s="99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1"/>
    </row>
  </sheetData>
  <mergeCells count="37">
    <mergeCell ref="A53:D55"/>
    <mergeCell ref="E53:I55"/>
    <mergeCell ref="J53:N55"/>
    <mergeCell ref="O53:T55"/>
    <mergeCell ref="A58:T60"/>
    <mergeCell ref="A51:T51"/>
    <mergeCell ref="A52:D52"/>
    <mergeCell ref="E52:I52"/>
    <mergeCell ref="J52:N52"/>
    <mergeCell ref="O52:T52"/>
    <mergeCell ref="A14:G14"/>
    <mergeCell ref="A22:F22"/>
    <mergeCell ref="A30:F30"/>
    <mergeCell ref="A43:H43"/>
    <mergeCell ref="A10:L10"/>
    <mergeCell ref="A7:D7"/>
    <mergeCell ref="E7:H7"/>
    <mergeCell ref="I7:L7"/>
    <mergeCell ref="M7:P7"/>
    <mergeCell ref="Q7:T7"/>
    <mergeCell ref="A6:D6"/>
    <mergeCell ref="E6:H6"/>
    <mergeCell ref="I6:L6"/>
    <mergeCell ref="M6:P6"/>
    <mergeCell ref="Q6:T6"/>
    <mergeCell ref="A5:D5"/>
    <mergeCell ref="E5:H5"/>
    <mergeCell ref="I5:L5"/>
    <mergeCell ref="M5:P5"/>
    <mergeCell ref="Q5:T5"/>
    <mergeCell ref="A1:T1"/>
    <mergeCell ref="A2:T2"/>
    <mergeCell ref="A4:D4"/>
    <mergeCell ref="E4:H4"/>
    <mergeCell ref="I4:L4"/>
    <mergeCell ref="M4:P4"/>
    <mergeCell ref="Q4:T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B57"/>
  </sheetPr>
  <dimension ref="A1:P501"/>
  <sheetViews>
    <sheetView zoomScaleNormal="100" workbookViewId="0">
      <pane ySplit="1" topLeftCell="A11" activePane="bottomLeft" state="frozen"/>
      <selection pane="bottomLeft" activeCell="B35" sqref="B35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0" customWidth="1"/>
    <col min="4" max="5" width="8" customWidth="1"/>
    <col min="6" max="6" width="15" customWidth="1"/>
    <col min="7" max="7" width="12" customWidth="1"/>
    <col min="8" max="8" width="22" customWidth="1"/>
    <col min="9" max="9" width="16" customWidth="1"/>
    <col min="10" max="10" width="7" customWidth="1"/>
    <col min="11" max="11" width="12" customWidth="1"/>
    <col min="12" max="14" width="14" customWidth="1"/>
    <col min="15" max="15" width="12" customWidth="1"/>
    <col min="16" max="16" width="10" customWidth="1"/>
  </cols>
  <sheetData>
    <row r="1" spans="1:16" x14ac:dyDescent="0.3">
      <c r="A1" s="15" t="s">
        <v>64</v>
      </c>
      <c r="B1" s="15" t="s">
        <v>65</v>
      </c>
      <c r="C1" s="15" t="s">
        <v>66</v>
      </c>
      <c r="D1" s="15" t="s">
        <v>50</v>
      </c>
      <c r="E1" s="15" t="s">
        <v>22</v>
      </c>
      <c r="F1" s="15" t="s">
        <v>67</v>
      </c>
      <c r="G1" s="15" t="s">
        <v>35</v>
      </c>
      <c r="H1" s="15" t="s">
        <v>68</v>
      </c>
      <c r="I1" s="15" t="s">
        <v>44</v>
      </c>
      <c r="J1" s="15" t="s">
        <v>36</v>
      </c>
      <c r="K1" s="15" t="s">
        <v>69</v>
      </c>
      <c r="L1" s="15" t="s">
        <v>70</v>
      </c>
      <c r="M1" s="15" t="s">
        <v>71</v>
      </c>
      <c r="N1" s="15" t="s">
        <v>72</v>
      </c>
      <c r="O1" s="15" t="s">
        <v>73</v>
      </c>
      <c r="P1" s="15" t="s">
        <v>74</v>
      </c>
    </row>
    <row r="2" spans="1:16" x14ac:dyDescent="0.3">
      <c r="A2" s="16" t="s">
        <v>75</v>
      </c>
      <c r="B2" s="17">
        <v>45619</v>
      </c>
      <c r="C2" s="16" t="s">
        <v>76</v>
      </c>
      <c r="D2" s="16" t="s">
        <v>57</v>
      </c>
      <c r="E2" s="16" t="s">
        <v>29</v>
      </c>
      <c r="F2" s="16" t="s">
        <v>77</v>
      </c>
      <c r="G2" s="16" t="s">
        <v>40</v>
      </c>
      <c r="H2" s="16" t="s">
        <v>78</v>
      </c>
      <c r="I2" s="16" t="s">
        <v>79</v>
      </c>
      <c r="J2" s="16">
        <v>4</v>
      </c>
      <c r="K2" s="18">
        <v>450</v>
      </c>
      <c r="L2" s="18">
        <v>1800</v>
      </c>
      <c r="M2" s="18">
        <v>1444.19</v>
      </c>
      <c r="N2" s="18">
        <v>355.81</v>
      </c>
      <c r="O2" s="19">
        <v>0.19769999999999999</v>
      </c>
      <c r="P2" s="16" t="s">
        <v>80</v>
      </c>
    </row>
    <row r="3" spans="1:16" x14ac:dyDescent="0.3">
      <c r="A3" s="20" t="s">
        <v>81</v>
      </c>
      <c r="B3" s="21">
        <v>45336</v>
      </c>
      <c r="C3" s="20" t="s">
        <v>82</v>
      </c>
      <c r="D3" s="20" t="s">
        <v>53</v>
      </c>
      <c r="E3" s="20" t="s">
        <v>33</v>
      </c>
      <c r="F3" s="20" t="s">
        <v>83</v>
      </c>
      <c r="G3" s="20" t="s">
        <v>38</v>
      </c>
      <c r="H3" s="20" t="s">
        <v>84</v>
      </c>
      <c r="I3" s="20" t="s">
        <v>85</v>
      </c>
      <c r="J3" s="20">
        <v>17</v>
      </c>
      <c r="K3" s="22">
        <v>21400</v>
      </c>
      <c r="L3" s="22">
        <v>363800</v>
      </c>
      <c r="M3" s="22">
        <v>280052.56</v>
      </c>
      <c r="N3" s="22">
        <v>83747.44</v>
      </c>
      <c r="O3" s="23">
        <v>0.23019999999999999</v>
      </c>
      <c r="P3" s="20" t="s">
        <v>80</v>
      </c>
    </row>
    <row r="4" spans="1:16" x14ac:dyDescent="0.3">
      <c r="A4" s="16" t="s">
        <v>86</v>
      </c>
      <c r="B4" s="17">
        <v>45624</v>
      </c>
      <c r="C4" s="16" t="s">
        <v>76</v>
      </c>
      <c r="D4" s="16" t="s">
        <v>57</v>
      </c>
      <c r="E4" s="16" t="s">
        <v>33</v>
      </c>
      <c r="F4" s="16" t="s">
        <v>83</v>
      </c>
      <c r="G4" s="16" t="s">
        <v>39</v>
      </c>
      <c r="H4" s="16" t="s">
        <v>87</v>
      </c>
      <c r="I4" s="16" t="s">
        <v>88</v>
      </c>
      <c r="J4" s="16">
        <v>1</v>
      </c>
      <c r="K4" s="18">
        <v>1750</v>
      </c>
      <c r="L4" s="18">
        <v>1750</v>
      </c>
      <c r="M4" s="18">
        <v>917.21</v>
      </c>
      <c r="N4" s="18">
        <v>832.79</v>
      </c>
      <c r="O4" s="19">
        <v>0.47589999999999999</v>
      </c>
      <c r="P4" s="16" t="s">
        <v>80</v>
      </c>
    </row>
    <row r="5" spans="1:16" x14ac:dyDescent="0.3">
      <c r="A5" s="20" t="s">
        <v>89</v>
      </c>
      <c r="B5" s="21">
        <v>45508</v>
      </c>
      <c r="C5" s="20" t="s">
        <v>90</v>
      </c>
      <c r="D5" s="20" t="s">
        <v>56</v>
      </c>
      <c r="E5" s="20" t="s">
        <v>31</v>
      </c>
      <c r="F5" s="20" t="s">
        <v>91</v>
      </c>
      <c r="G5" s="20" t="s">
        <v>39</v>
      </c>
      <c r="H5" s="20" t="s">
        <v>92</v>
      </c>
      <c r="I5" s="20" t="s">
        <v>93</v>
      </c>
      <c r="J5" s="20">
        <v>13</v>
      </c>
      <c r="K5" s="22">
        <v>960</v>
      </c>
      <c r="L5" s="22">
        <v>12480</v>
      </c>
      <c r="M5" s="22">
        <v>7367.3</v>
      </c>
      <c r="N5" s="22">
        <v>5112.7</v>
      </c>
      <c r="O5" s="23">
        <v>0.40970000000000001</v>
      </c>
      <c r="P5" s="20" t="s">
        <v>80</v>
      </c>
    </row>
    <row r="6" spans="1:16" x14ac:dyDescent="0.3">
      <c r="A6" s="16" t="s">
        <v>94</v>
      </c>
      <c r="B6" s="17">
        <v>45601</v>
      </c>
      <c r="C6" s="16" t="s">
        <v>76</v>
      </c>
      <c r="D6" s="16" t="s">
        <v>57</v>
      </c>
      <c r="E6" s="16" t="s">
        <v>31</v>
      </c>
      <c r="F6" s="16" t="s">
        <v>95</v>
      </c>
      <c r="G6" s="16" t="s">
        <v>41</v>
      </c>
      <c r="H6" s="16" t="s">
        <v>96</v>
      </c>
      <c r="I6" s="16" t="s">
        <v>93</v>
      </c>
      <c r="J6" s="16">
        <v>10</v>
      </c>
      <c r="K6" s="18">
        <v>6700</v>
      </c>
      <c r="L6" s="18">
        <v>67000</v>
      </c>
      <c r="M6" s="18">
        <v>41342.99</v>
      </c>
      <c r="N6" s="18">
        <v>25657.01</v>
      </c>
      <c r="O6" s="19">
        <v>0.38290000000000002</v>
      </c>
      <c r="P6" s="16" t="s">
        <v>80</v>
      </c>
    </row>
    <row r="7" spans="1:16" x14ac:dyDescent="0.3">
      <c r="A7" s="20" t="s">
        <v>97</v>
      </c>
      <c r="B7" s="21">
        <v>45477</v>
      </c>
      <c r="C7" s="20" t="s">
        <v>98</v>
      </c>
      <c r="D7" s="20" t="s">
        <v>56</v>
      </c>
      <c r="E7" s="20" t="s">
        <v>33</v>
      </c>
      <c r="F7" s="20" t="s">
        <v>99</v>
      </c>
      <c r="G7" s="20" t="s">
        <v>38</v>
      </c>
      <c r="H7" s="20" t="s">
        <v>100</v>
      </c>
      <c r="I7" s="20" t="s">
        <v>85</v>
      </c>
      <c r="J7" s="20">
        <v>3</v>
      </c>
      <c r="K7" s="22">
        <v>62980</v>
      </c>
      <c r="L7" s="22">
        <v>188940</v>
      </c>
      <c r="M7" s="22">
        <v>140659.82999999999</v>
      </c>
      <c r="N7" s="22">
        <v>48280.17</v>
      </c>
      <c r="O7" s="23">
        <v>0.2555</v>
      </c>
      <c r="P7" s="20" t="s">
        <v>80</v>
      </c>
    </row>
    <row r="8" spans="1:16" x14ac:dyDescent="0.3">
      <c r="A8" s="16" t="s">
        <v>101</v>
      </c>
      <c r="B8" s="17">
        <v>45486</v>
      </c>
      <c r="C8" s="16" t="s">
        <v>98</v>
      </c>
      <c r="D8" s="16" t="s">
        <v>56</v>
      </c>
      <c r="E8" s="16" t="s">
        <v>31</v>
      </c>
      <c r="F8" s="16" t="s">
        <v>91</v>
      </c>
      <c r="G8" s="16" t="s">
        <v>40</v>
      </c>
      <c r="H8" s="16" t="s">
        <v>102</v>
      </c>
      <c r="I8" s="16" t="s">
        <v>93</v>
      </c>
      <c r="J8" s="16">
        <v>9</v>
      </c>
      <c r="K8" s="18">
        <v>840</v>
      </c>
      <c r="L8" s="18">
        <v>7560</v>
      </c>
      <c r="M8" s="18">
        <v>6046.62</v>
      </c>
      <c r="N8" s="18">
        <v>1513.38</v>
      </c>
      <c r="O8" s="19">
        <v>0.20019999999999999</v>
      </c>
      <c r="P8" s="16" t="s">
        <v>80</v>
      </c>
    </row>
    <row r="9" spans="1:16" x14ac:dyDescent="0.3">
      <c r="A9" s="20" t="s">
        <v>103</v>
      </c>
      <c r="B9" s="21">
        <v>45328</v>
      </c>
      <c r="C9" s="20" t="s">
        <v>82</v>
      </c>
      <c r="D9" s="20" t="s">
        <v>53</v>
      </c>
      <c r="E9" s="20" t="s">
        <v>33</v>
      </c>
      <c r="F9" s="20" t="s">
        <v>104</v>
      </c>
      <c r="G9" s="20" t="s">
        <v>39</v>
      </c>
      <c r="H9" s="20" t="s">
        <v>105</v>
      </c>
      <c r="I9" s="20" t="s">
        <v>85</v>
      </c>
      <c r="J9" s="20">
        <v>9</v>
      </c>
      <c r="K9" s="22">
        <v>2580</v>
      </c>
      <c r="L9" s="22">
        <v>23220</v>
      </c>
      <c r="M9" s="22">
        <v>11634.33</v>
      </c>
      <c r="N9" s="22">
        <v>11585.67</v>
      </c>
      <c r="O9" s="23">
        <v>0.499</v>
      </c>
      <c r="P9" s="20" t="s">
        <v>80</v>
      </c>
    </row>
    <row r="10" spans="1:16" x14ac:dyDescent="0.3">
      <c r="A10" s="16" t="s">
        <v>106</v>
      </c>
      <c r="B10" s="17">
        <v>45577</v>
      </c>
      <c r="C10" s="16" t="s">
        <v>107</v>
      </c>
      <c r="D10" s="16" t="s">
        <v>57</v>
      </c>
      <c r="E10" s="16" t="s">
        <v>30</v>
      </c>
      <c r="F10" s="16" t="s">
        <v>108</v>
      </c>
      <c r="G10" s="16" t="s">
        <v>40</v>
      </c>
      <c r="H10" s="16" t="s">
        <v>78</v>
      </c>
      <c r="I10" s="16" t="s">
        <v>109</v>
      </c>
      <c r="J10" s="16">
        <v>11</v>
      </c>
      <c r="K10" s="18">
        <v>1680</v>
      </c>
      <c r="L10" s="18">
        <v>18480</v>
      </c>
      <c r="M10" s="18">
        <v>15336.25</v>
      </c>
      <c r="N10" s="18">
        <v>3143.75</v>
      </c>
      <c r="O10" s="19">
        <v>0.1701</v>
      </c>
      <c r="P10" s="16" t="s">
        <v>110</v>
      </c>
    </row>
    <row r="11" spans="1:16" x14ac:dyDescent="0.3">
      <c r="A11" s="20" t="s">
        <v>111</v>
      </c>
      <c r="B11" s="21">
        <v>45582</v>
      </c>
      <c r="C11" s="20" t="s">
        <v>107</v>
      </c>
      <c r="D11" s="20" t="s">
        <v>57</v>
      </c>
      <c r="E11" s="20" t="s">
        <v>31</v>
      </c>
      <c r="F11" s="20" t="s">
        <v>95</v>
      </c>
      <c r="G11" s="20" t="s">
        <v>41</v>
      </c>
      <c r="H11" s="20" t="s">
        <v>96</v>
      </c>
      <c r="I11" s="20" t="s">
        <v>112</v>
      </c>
      <c r="J11" s="20">
        <v>5</v>
      </c>
      <c r="K11" s="22">
        <v>9710</v>
      </c>
      <c r="L11" s="22">
        <v>48550</v>
      </c>
      <c r="M11" s="22">
        <v>32787.620000000003</v>
      </c>
      <c r="N11" s="22">
        <v>15762.38</v>
      </c>
      <c r="O11" s="23">
        <v>0.32469999999999999</v>
      </c>
      <c r="P11" s="20" t="s">
        <v>80</v>
      </c>
    </row>
    <row r="12" spans="1:16" x14ac:dyDescent="0.3">
      <c r="A12" s="16" t="s">
        <v>113</v>
      </c>
      <c r="B12" s="17">
        <v>45426</v>
      </c>
      <c r="C12" s="16" t="s">
        <v>13</v>
      </c>
      <c r="D12" s="16" t="s">
        <v>55</v>
      </c>
      <c r="E12" s="16" t="s">
        <v>33</v>
      </c>
      <c r="F12" s="16" t="s">
        <v>83</v>
      </c>
      <c r="G12" s="16" t="s">
        <v>42</v>
      </c>
      <c r="H12" s="16" t="s">
        <v>114</v>
      </c>
      <c r="I12" s="16" t="s">
        <v>88</v>
      </c>
      <c r="J12" s="16">
        <v>5</v>
      </c>
      <c r="K12" s="18">
        <v>3910</v>
      </c>
      <c r="L12" s="18">
        <v>19550</v>
      </c>
      <c r="M12" s="18">
        <v>13666.38</v>
      </c>
      <c r="N12" s="18">
        <v>5883.62</v>
      </c>
      <c r="O12" s="19">
        <v>0.30099999999999999</v>
      </c>
      <c r="P12" s="16" t="s">
        <v>80</v>
      </c>
    </row>
    <row r="13" spans="1:16" x14ac:dyDescent="0.3">
      <c r="A13" s="20" t="s">
        <v>115</v>
      </c>
      <c r="B13" s="21">
        <v>45316</v>
      </c>
      <c r="C13" s="20" t="s">
        <v>116</v>
      </c>
      <c r="D13" s="20" t="s">
        <v>53</v>
      </c>
      <c r="E13" s="20" t="s">
        <v>29</v>
      </c>
      <c r="F13" s="20" t="s">
        <v>77</v>
      </c>
      <c r="G13" s="20" t="s">
        <v>39</v>
      </c>
      <c r="H13" s="20" t="s">
        <v>87</v>
      </c>
      <c r="I13" s="20" t="s">
        <v>117</v>
      </c>
      <c r="J13" s="20">
        <v>13</v>
      </c>
      <c r="K13" s="22">
        <v>790</v>
      </c>
      <c r="L13" s="22">
        <v>10270</v>
      </c>
      <c r="M13" s="22">
        <v>5550.02</v>
      </c>
      <c r="N13" s="22">
        <v>4719.9799999999996</v>
      </c>
      <c r="O13" s="23">
        <v>0.45960000000000001</v>
      </c>
      <c r="P13" s="20" t="s">
        <v>80</v>
      </c>
    </row>
    <row r="14" spans="1:16" x14ac:dyDescent="0.3">
      <c r="A14" s="16" t="s">
        <v>118</v>
      </c>
      <c r="B14" s="17">
        <v>45420</v>
      </c>
      <c r="C14" s="16" t="s">
        <v>13</v>
      </c>
      <c r="D14" s="16" t="s">
        <v>55</v>
      </c>
      <c r="E14" s="16" t="s">
        <v>33</v>
      </c>
      <c r="F14" s="16" t="s">
        <v>99</v>
      </c>
      <c r="G14" s="16" t="s">
        <v>38</v>
      </c>
      <c r="H14" s="16" t="s">
        <v>119</v>
      </c>
      <c r="I14" s="16" t="s">
        <v>88</v>
      </c>
      <c r="J14" s="16">
        <v>14</v>
      </c>
      <c r="K14" s="18">
        <v>13370</v>
      </c>
      <c r="L14" s="18">
        <v>187180</v>
      </c>
      <c r="M14" s="18">
        <v>152399</v>
      </c>
      <c r="N14" s="18">
        <v>34781</v>
      </c>
      <c r="O14" s="19">
        <v>0.18579999999999999</v>
      </c>
      <c r="P14" s="16" t="s">
        <v>110</v>
      </c>
    </row>
    <row r="15" spans="1:16" x14ac:dyDescent="0.3">
      <c r="A15" s="20" t="s">
        <v>120</v>
      </c>
      <c r="B15" s="21">
        <v>45426</v>
      </c>
      <c r="C15" s="20" t="s">
        <v>13</v>
      </c>
      <c r="D15" s="20" t="s">
        <v>55</v>
      </c>
      <c r="E15" s="20" t="s">
        <v>33</v>
      </c>
      <c r="F15" s="20" t="s">
        <v>99</v>
      </c>
      <c r="G15" s="20" t="s">
        <v>42</v>
      </c>
      <c r="H15" s="20" t="s">
        <v>114</v>
      </c>
      <c r="I15" s="20" t="s">
        <v>85</v>
      </c>
      <c r="J15" s="20">
        <v>17</v>
      </c>
      <c r="K15" s="22">
        <v>12750</v>
      </c>
      <c r="L15" s="22">
        <v>216750</v>
      </c>
      <c r="M15" s="22">
        <v>149363.07</v>
      </c>
      <c r="N15" s="22">
        <v>67386.929999999993</v>
      </c>
      <c r="O15" s="23">
        <v>0.31090000000000001</v>
      </c>
      <c r="P15" s="20" t="s">
        <v>80</v>
      </c>
    </row>
    <row r="16" spans="1:16" x14ac:dyDescent="0.3">
      <c r="A16" s="16" t="s">
        <v>121</v>
      </c>
      <c r="B16" s="17">
        <v>45374</v>
      </c>
      <c r="C16" s="16" t="s">
        <v>122</v>
      </c>
      <c r="D16" s="16" t="s">
        <v>53</v>
      </c>
      <c r="E16" s="16" t="s">
        <v>33</v>
      </c>
      <c r="F16" s="16" t="s">
        <v>104</v>
      </c>
      <c r="G16" s="16" t="s">
        <v>38</v>
      </c>
      <c r="H16" s="16" t="s">
        <v>123</v>
      </c>
      <c r="I16" s="16" t="s">
        <v>88</v>
      </c>
      <c r="J16" s="16">
        <v>12</v>
      </c>
      <c r="K16" s="18">
        <v>6460</v>
      </c>
      <c r="L16" s="18">
        <v>77520</v>
      </c>
      <c r="M16" s="18">
        <v>57529.75</v>
      </c>
      <c r="N16" s="18">
        <v>19990.25</v>
      </c>
      <c r="O16" s="19">
        <v>0.25790000000000002</v>
      </c>
      <c r="P16" s="16" t="s">
        <v>80</v>
      </c>
    </row>
    <row r="17" spans="1:16" x14ac:dyDescent="0.3">
      <c r="A17" s="20" t="s">
        <v>124</v>
      </c>
      <c r="B17" s="21">
        <v>45449</v>
      </c>
      <c r="C17" s="20" t="s">
        <v>125</v>
      </c>
      <c r="D17" s="20" t="s">
        <v>55</v>
      </c>
      <c r="E17" s="20" t="s">
        <v>30</v>
      </c>
      <c r="F17" s="20" t="s">
        <v>126</v>
      </c>
      <c r="G17" s="20" t="s">
        <v>39</v>
      </c>
      <c r="H17" s="20" t="s">
        <v>127</v>
      </c>
      <c r="I17" s="20" t="s">
        <v>109</v>
      </c>
      <c r="J17" s="20">
        <v>3</v>
      </c>
      <c r="K17" s="22">
        <v>3790</v>
      </c>
      <c r="L17" s="22">
        <v>11370</v>
      </c>
      <c r="M17" s="22">
        <v>5710.03</v>
      </c>
      <c r="N17" s="22">
        <v>5659.97</v>
      </c>
      <c r="O17" s="23">
        <v>0.49780000000000002</v>
      </c>
      <c r="P17" s="20" t="s">
        <v>80</v>
      </c>
    </row>
    <row r="18" spans="1:16" x14ac:dyDescent="0.3">
      <c r="A18" s="16" t="s">
        <v>128</v>
      </c>
      <c r="B18" s="17">
        <v>45356</v>
      </c>
      <c r="C18" s="16" t="s">
        <v>122</v>
      </c>
      <c r="D18" s="16" t="s">
        <v>53</v>
      </c>
      <c r="E18" s="16" t="s">
        <v>30</v>
      </c>
      <c r="F18" s="16" t="s">
        <v>108</v>
      </c>
      <c r="G18" s="16" t="s">
        <v>41</v>
      </c>
      <c r="H18" s="16" t="s">
        <v>129</v>
      </c>
      <c r="I18" s="16" t="s">
        <v>109</v>
      </c>
      <c r="J18" s="16">
        <v>20</v>
      </c>
      <c r="K18" s="18">
        <v>27800</v>
      </c>
      <c r="L18" s="18">
        <v>556000</v>
      </c>
      <c r="M18" s="18">
        <v>365673.53</v>
      </c>
      <c r="N18" s="18">
        <v>190326.47</v>
      </c>
      <c r="O18" s="19">
        <v>0.34229999999999999</v>
      </c>
      <c r="P18" s="16" t="s">
        <v>80</v>
      </c>
    </row>
    <row r="19" spans="1:16" x14ac:dyDescent="0.3">
      <c r="A19" s="20" t="s">
        <v>130</v>
      </c>
      <c r="B19" s="21">
        <v>45568</v>
      </c>
      <c r="C19" s="20" t="s">
        <v>107</v>
      </c>
      <c r="D19" s="20" t="s">
        <v>57</v>
      </c>
      <c r="E19" s="20" t="s">
        <v>30</v>
      </c>
      <c r="F19" s="20" t="s">
        <v>108</v>
      </c>
      <c r="G19" s="20" t="s">
        <v>40</v>
      </c>
      <c r="H19" s="20" t="s">
        <v>102</v>
      </c>
      <c r="I19" s="20" t="s">
        <v>131</v>
      </c>
      <c r="J19" s="20">
        <v>17</v>
      </c>
      <c r="K19" s="22">
        <v>990</v>
      </c>
      <c r="L19" s="22">
        <v>16830</v>
      </c>
      <c r="M19" s="22">
        <v>13882.25</v>
      </c>
      <c r="N19" s="22">
        <v>2947.75</v>
      </c>
      <c r="O19" s="23">
        <v>0.17510000000000001</v>
      </c>
      <c r="P19" s="20" t="s">
        <v>80</v>
      </c>
    </row>
    <row r="20" spans="1:16" x14ac:dyDescent="0.3">
      <c r="A20" s="16" t="s">
        <v>132</v>
      </c>
      <c r="B20" s="17">
        <v>45324</v>
      </c>
      <c r="C20" s="16" t="s">
        <v>82</v>
      </c>
      <c r="D20" s="16" t="s">
        <v>53</v>
      </c>
      <c r="E20" s="16" t="s">
        <v>31</v>
      </c>
      <c r="F20" s="16" t="s">
        <v>95</v>
      </c>
      <c r="G20" s="16" t="s">
        <v>42</v>
      </c>
      <c r="H20" s="16" t="s">
        <v>133</v>
      </c>
      <c r="I20" s="16" t="s">
        <v>93</v>
      </c>
      <c r="J20" s="16">
        <v>3</v>
      </c>
      <c r="K20" s="18">
        <v>3930</v>
      </c>
      <c r="L20" s="18">
        <v>11790</v>
      </c>
      <c r="M20" s="18">
        <v>8007.96</v>
      </c>
      <c r="N20" s="18">
        <v>3782.04</v>
      </c>
      <c r="O20" s="19">
        <v>0.32079999999999997</v>
      </c>
      <c r="P20" s="16" t="s">
        <v>110</v>
      </c>
    </row>
    <row r="21" spans="1:16" x14ac:dyDescent="0.3">
      <c r="A21" s="20" t="s">
        <v>134</v>
      </c>
      <c r="B21" s="21">
        <v>45326</v>
      </c>
      <c r="C21" s="20" t="s">
        <v>82</v>
      </c>
      <c r="D21" s="20" t="s">
        <v>53</v>
      </c>
      <c r="E21" s="20" t="s">
        <v>29</v>
      </c>
      <c r="F21" s="20" t="s">
        <v>135</v>
      </c>
      <c r="G21" s="20" t="s">
        <v>38</v>
      </c>
      <c r="H21" s="20" t="s">
        <v>119</v>
      </c>
      <c r="I21" s="20" t="s">
        <v>79</v>
      </c>
      <c r="J21" s="20">
        <v>7</v>
      </c>
      <c r="K21" s="22">
        <v>55170</v>
      </c>
      <c r="L21" s="22">
        <v>386190</v>
      </c>
      <c r="M21" s="22">
        <v>299713.02</v>
      </c>
      <c r="N21" s="22">
        <v>86476.98</v>
      </c>
      <c r="O21" s="23">
        <v>0.22389999999999999</v>
      </c>
      <c r="P21" s="20" t="s">
        <v>80</v>
      </c>
    </row>
    <row r="22" spans="1:16" x14ac:dyDescent="0.3">
      <c r="A22" s="16" t="s">
        <v>136</v>
      </c>
      <c r="B22" s="17">
        <v>45584</v>
      </c>
      <c r="C22" s="16" t="s">
        <v>107</v>
      </c>
      <c r="D22" s="16" t="s">
        <v>57</v>
      </c>
      <c r="E22" s="16" t="s">
        <v>33</v>
      </c>
      <c r="F22" s="16" t="s">
        <v>83</v>
      </c>
      <c r="G22" s="16" t="s">
        <v>39</v>
      </c>
      <c r="H22" s="16" t="s">
        <v>137</v>
      </c>
      <c r="I22" s="16" t="s">
        <v>88</v>
      </c>
      <c r="J22" s="16">
        <v>4</v>
      </c>
      <c r="K22" s="18">
        <v>1360</v>
      </c>
      <c r="L22" s="18">
        <v>5440</v>
      </c>
      <c r="M22" s="18">
        <v>2905.51</v>
      </c>
      <c r="N22" s="18">
        <v>2534.4899999999998</v>
      </c>
      <c r="O22" s="19">
        <v>0.46589999999999998</v>
      </c>
      <c r="P22" s="16" t="s">
        <v>80</v>
      </c>
    </row>
    <row r="23" spans="1:16" x14ac:dyDescent="0.3">
      <c r="A23" s="20" t="s">
        <v>138</v>
      </c>
      <c r="B23" s="21">
        <v>45502</v>
      </c>
      <c r="C23" s="20" t="s">
        <v>98</v>
      </c>
      <c r="D23" s="20" t="s">
        <v>56</v>
      </c>
      <c r="E23" s="20" t="s">
        <v>32</v>
      </c>
      <c r="F23" s="20" t="s">
        <v>139</v>
      </c>
      <c r="G23" s="20" t="s">
        <v>38</v>
      </c>
      <c r="H23" s="20" t="s">
        <v>84</v>
      </c>
      <c r="I23" s="20" t="s">
        <v>140</v>
      </c>
      <c r="J23" s="20">
        <v>11</v>
      </c>
      <c r="K23" s="22">
        <v>35200</v>
      </c>
      <c r="L23" s="22">
        <v>387200</v>
      </c>
      <c r="M23" s="22">
        <v>290377.06</v>
      </c>
      <c r="N23" s="22">
        <v>96822.94</v>
      </c>
      <c r="O23" s="23">
        <v>0.25009999999999999</v>
      </c>
      <c r="P23" s="20" t="s">
        <v>80</v>
      </c>
    </row>
    <row r="24" spans="1:16" x14ac:dyDescent="0.3">
      <c r="A24" s="16" t="s">
        <v>141</v>
      </c>
      <c r="B24" s="17">
        <v>45390</v>
      </c>
      <c r="C24" s="16" t="s">
        <v>142</v>
      </c>
      <c r="D24" s="16" t="s">
        <v>55</v>
      </c>
      <c r="E24" s="16" t="s">
        <v>30</v>
      </c>
      <c r="F24" s="16" t="s">
        <v>108</v>
      </c>
      <c r="G24" s="16" t="s">
        <v>41</v>
      </c>
      <c r="H24" s="16" t="s">
        <v>96</v>
      </c>
      <c r="I24" s="16" t="s">
        <v>109</v>
      </c>
      <c r="J24" s="16">
        <v>15</v>
      </c>
      <c r="K24" s="18">
        <v>11620</v>
      </c>
      <c r="L24" s="18">
        <v>174300</v>
      </c>
      <c r="M24" s="18">
        <v>117655.87</v>
      </c>
      <c r="N24" s="18">
        <v>56644.13</v>
      </c>
      <c r="O24" s="19">
        <v>0.32500000000000001</v>
      </c>
      <c r="P24" s="16" t="s">
        <v>80</v>
      </c>
    </row>
    <row r="25" spans="1:16" x14ac:dyDescent="0.3">
      <c r="A25" s="20" t="s">
        <v>143</v>
      </c>
      <c r="B25" s="21">
        <v>45518</v>
      </c>
      <c r="C25" s="20" t="s">
        <v>90</v>
      </c>
      <c r="D25" s="20" t="s">
        <v>56</v>
      </c>
      <c r="E25" s="20" t="s">
        <v>33</v>
      </c>
      <c r="F25" s="20" t="s">
        <v>99</v>
      </c>
      <c r="G25" s="20" t="s">
        <v>38</v>
      </c>
      <c r="H25" s="20" t="s">
        <v>84</v>
      </c>
      <c r="I25" s="20" t="s">
        <v>85</v>
      </c>
      <c r="J25" s="20">
        <v>8</v>
      </c>
      <c r="K25" s="22">
        <v>74480</v>
      </c>
      <c r="L25" s="22">
        <v>595840</v>
      </c>
      <c r="M25" s="22">
        <v>484637.72</v>
      </c>
      <c r="N25" s="22">
        <v>111202.28</v>
      </c>
      <c r="O25" s="23">
        <v>0.18659999999999999</v>
      </c>
      <c r="P25" s="20" t="s">
        <v>80</v>
      </c>
    </row>
    <row r="26" spans="1:16" x14ac:dyDescent="0.3">
      <c r="A26" s="16" t="s">
        <v>144</v>
      </c>
      <c r="B26" s="17">
        <v>45401</v>
      </c>
      <c r="C26" s="16" t="s">
        <v>142</v>
      </c>
      <c r="D26" s="16" t="s">
        <v>55</v>
      </c>
      <c r="E26" s="16" t="s">
        <v>32</v>
      </c>
      <c r="F26" s="16" t="s">
        <v>145</v>
      </c>
      <c r="G26" s="16" t="s">
        <v>39</v>
      </c>
      <c r="H26" s="16" t="s">
        <v>127</v>
      </c>
      <c r="I26" s="16" t="s">
        <v>146</v>
      </c>
      <c r="J26" s="16">
        <v>9</v>
      </c>
      <c r="K26" s="18">
        <v>4930</v>
      </c>
      <c r="L26" s="18">
        <v>44370</v>
      </c>
      <c r="M26" s="18">
        <v>22511.040000000001</v>
      </c>
      <c r="N26" s="18">
        <v>21858.959999999999</v>
      </c>
      <c r="O26" s="19">
        <v>0.49270000000000003</v>
      </c>
      <c r="P26" s="16" t="s">
        <v>80</v>
      </c>
    </row>
    <row r="27" spans="1:16" x14ac:dyDescent="0.3">
      <c r="A27" s="20" t="s">
        <v>147</v>
      </c>
      <c r="B27" s="21">
        <v>45438</v>
      </c>
      <c r="C27" s="20" t="s">
        <v>13</v>
      </c>
      <c r="D27" s="20" t="s">
        <v>55</v>
      </c>
      <c r="E27" s="20" t="s">
        <v>32</v>
      </c>
      <c r="F27" s="20" t="s">
        <v>139</v>
      </c>
      <c r="G27" s="20" t="s">
        <v>42</v>
      </c>
      <c r="H27" s="20" t="s">
        <v>148</v>
      </c>
      <c r="I27" s="20" t="s">
        <v>146</v>
      </c>
      <c r="J27" s="20">
        <v>7</v>
      </c>
      <c r="K27" s="22">
        <v>3500</v>
      </c>
      <c r="L27" s="22">
        <v>24500</v>
      </c>
      <c r="M27" s="22">
        <v>16001.66</v>
      </c>
      <c r="N27" s="22">
        <v>8498.34</v>
      </c>
      <c r="O27" s="23">
        <v>0.34689999999999999</v>
      </c>
      <c r="P27" s="20" t="s">
        <v>80</v>
      </c>
    </row>
    <row r="28" spans="1:16" x14ac:dyDescent="0.3">
      <c r="A28" s="16" t="s">
        <v>149</v>
      </c>
      <c r="B28" s="17">
        <v>45569</v>
      </c>
      <c r="C28" s="16" t="s">
        <v>107</v>
      </c>
      <c r="D28" s="16" t="s">
        <v>57</v>
      </c>
      <c r="E28" s="16" t="s">
        <v>29</v>
      </c>
      <c r="F28" s="16" t="s">
        <v>150</v>
      </c>
      <c r="G28" s="16" t="s">
        <v>40</v>
      </c>
      <c r="H28" s="16" t="s">
        <v>151</v>
      </c>
      <c r="I28" s="16" t="s">
        <v>79</v>
      </c>
      <c r="J28" s="16">
        <v>17</v>
      </c>
      <c r="K28" s="18">
        <v>1250</v>
      </c>
      <c r="L28" s="18">
        <v>21250</v>
      </c>
      <c r="M28" s="18">
        <v>16533.8</v>
      </c>
      <c r="N28" s="18">
        <v>4716.2</v>
      </c>
      <c r="O28" s="19">
        <v>0.22189999999999999</v>
      </c>
      <c r="P28" s="16" t="s">
        <v>80</v>
      </c>
    </row>
    <row r="29" spans="1:16" x14ac:dyDescent="0.3">
      <c r="A29" s="20" t="s">
        <v>152</v>
      </c>
      <c r="B29" s="21">
        <v>45321</v>
      </c>
      <c r="C29" s="20" t="s">
        <v>116</v>
      </c>
      <c r="D29" s="20" t="s">
        <v>53</v>
      </c>
      <c r="E29" s="20" t="s">
        <v>33</v>
      </c>
      <c r="F29" s="20" t="s">
        <v>99</v>
      </c>
      <c r="G29" s="20" t="s">
        <v>39</v>
      </c>
      <c r="H29" s="20" t="s">
        <v>87</v>
      </c>
      <c r="I29" s="20" t="s">
        <v>85</v>
      </c>
      <c r="J29" s="20">
        <v>8</v>
      </c>
      <c r="K29" s="22">
        <v>810</v>
      </c>
      <c r="L29" s="22">
        <v>6480</v>
      </c>
      <c r="M29" s="22">
        <v>3626.35</v>
      </c>
      <c r="N29" s="22">
        <v>2853.65</v>
      </c>
      <c r="O29" s="23">
        <v>0.44040000000000001</v>
      </c>
      <c r="P29" s="20" t="s">
        <v>80</v>
      </c>
    </row>
    <row r="30" spans="1:16" x14ac:dyDescent="0.3">
      <c r="A30" s="16" t="s">
        <v>153</v>
      </c>
      <c r="B30" s="17">
        <v>45583</v>
      </c>
      <c r="C30" s="16" t="s">
        <v>107</v>
      </c>
      <c r="D30" s="16" t="s">
        <v>57</v>
      </c>
      <c r="E30" s="16" t="s">
        <v>30</v>
      </c>
      <c r="F30" s="16" t="s">
        <v>108</v>
      </c>
      <c r="G30" s="16" t="s">
        <v>42</v>
      </c>
      <c r="H30" s="16" t="s">
        <v>133</v>
      </c>
      <c r="I30" s="16" t="s">
        <v>109</v>
      </c>
      <c r="J30" s="16">
        <v>19</v>
      </c>
      <c r="K30" s="18">
        <v>1960</v>
      </c>
      <c r="L30" s="18">
        <v>37240</v>
      </c>
      <c r="M30" s="18">
        <v>25825.09</v>
      </c>
      <c r="N30" s="18">
        <v>11414.91</v>
      </c>
      <c r="O30" s="19">
        <v>0.30649999999999999</v>
      </c>
      <c r="P30" s="16" t="s">
        <v>80</v>
      </c>
    </row>
    <row r="31" spans="1:16" x14ac:dyDescent="0.3">
      <c r="A31" s="20" t="s">
        <v>154</v>
      </c>
      <c r="B31" s="21">
        <v>45425</v>
      </c>
      <c r="C31" s="20" t="s">
        <v>13</v>
      </c>
      <c r="D31" s="20" t="s">
        <v>55</v>
      </c>
      <c r="E31" s="20" t="s">
        <v>30</v>
      </c>
      <c r="F31" s="20" t="s">
        <v>108</v>
      </c>
      <c r="G31" s="20" t="s">
        <v>40</v>
      </c>
      <c r="H31" s="20" t="s">
        <v>102</v>
      </c>
      <c r="I31" s="20" t="s">
        <v>109</v>
      </c>
      <c r="J31" s="20">
        <v>10</v>
      </c>
      <c r="K31" s="22">
        <v>910</v>
      </c>
      <c r="L31" s="22">
        <v>9100</v>
      </c>
      <c r="M31" s="22">
        <v>7500.93</v>
      </c>
      <c r="N31" s="22">
        <v>1599.07</v>
      </c>
      <c r="O31" s="23">
        <v>0.1757</v>
      </c>
      <c r="P31" s="20" t="s">
        <v>80</v>
      </c>
    </row>
    <row r="32" spans="1:16" x14ac:dyDescent="0.3">
      <c r="A32" s="16" t="s">
        <v>155</v>
      </c>
      <c r="B32" s="17">
        <v>45329</v>
      </c>
      <c r="C32" s="16" t="s">
        <v>82</v>
      </c>
      <c r="D32" s="16" t="s">
        <v>53</v>
      </c>
      <c r="E32" s="16" t="s">
        <v>29</v>
      </c>
      <c r="F32" s="16" t="s">
        <v>135</v>
      </c>
      <c r="G32" s="16" t="s">
        <v>42</v>
      </c>
      <c r="H32" s="16" t="s">
        <v>156</v>
      </c>
      <c r="I32" s="16" t="s">
        <v>79</v>
      </c>
      <c r="J32" s="16">
        <v>17</v>
      </c>
      <c r="K32" s="18">
        <v>8430</v>
      </c>
      <c r="L32" s="18">
        <v>143310</v>
      </c>
      <c r="M32" s="18">
        <v>103681.91</v>
      </c>
      <c r="N32" s="18">
        <v>39628.089999999997</v>
      </c>
      <c r="O32" s="19">
        <v>0.27650000000000002</v>
      </c>
      <c r="P32" s="16" t="s">
        <v>80</v>
      </c>
    </row>
    <row r="33" spans="1:16" x14ac:dyDescent="0.3">
      <c r="A33" s="20" t="s">
        <v>157</v>
      </c>
      <c r="B33" s="21">
        <v>45327</v>
      </c>
      <c r="C33" s="20" t="s">
        <v>82</v>
      </c>
      <c r="D33" s="20" t="s">
        <v>53</v>
      </c>
      <c r="E33" s="20" t="s">
        <v>30</v>
      </c>
      <c r="F33" s="20" t="s">
        <v>158</v>
      </c>
      <c r="G33" s="20" t="s">
        <v>40</v>
      </c>
      <c r="H33" s="20" t="s">
        <v>159</v>
      </c>
      <c r="I33" s="20" t="s">
        <v>109</v>
      </c>
      <c r="J33" s="20">
        <v>10</v>
      </c>
      <c r="K33" s="22">
        <v>1700</v>
      </c>
      <c r="L33" s="22">
        <v>17000</v>
      </c>
      <c r="M33" s="22">
        <v>13750.15</v>
      </c>
      <c r="N33" s="22">
        <v>3249.85</v>
      </c>
      <c r="O33" s="23">
        <v>0.19120000000000001</v>
      </c>
      <c r="P33" s="20" t="s">
        <v>80</v>
      </c>
    </row>
    <row r="34" spans="1:16" x14ac:dyDescent="0.3">
      <c r="A34" s="16" t="s">
        <v>160</v>
      </c>
      <c r="B34" s="17">
        <v>45626</v>
      </c>
      <c r="C34" s="16" t="s">
        <v>76</v>
      </c>
      <c r="D34" s="16" t="s">
        <v>57</v>
      </c>
      <c r="E34" s="16" t="s">
        <v>33</v>
      </c>
      <c r="F34" s="16" t="s">
        <v>99</v>
      </c>
      <c r="G34" s="16" t="s">
        <v>42</v>
      </c>
      <c r="H34" s="16" t="s">
        <v>156</v>
      </c>
      <c r="I34" s="16" t="s">
        <v>88</v>
      </c>
      <c r="J34" s="16">
        <v>5</v>
      </c>
      <c r="K34" s="18">
        <v>14130</v>
      </c>
      <c r="L34" s="18">
        <v>70650</v>
      </c>
      <c r="M34" s="18">
        <v>51119.05</v>
      </c>
      <c r="N34" s="18">
        <v>19530.95</v>
      </c>
      <c r="O34" s="19">
        <v>0.27639999999999998</v>
      </c>
      <c r="P34" s="16" t="s">
        <v>80</v>
      </c>
    </row>
    <row r="35" spans="1:16" x14ac:dyDescent="0.3">
      <c r="A35" s="20" t="s">
        <v>161</v>
      </c>
      <c r="B35" s="21">
        <v>45575</v>
      </c>
      <c r="C35" s="20" t="s">
        <v>107</v>
      </c>
      <c r="D35" s="20" t="s">
        <v>57</v>
      </c>
      <c r="E35" s="20" t="s">
        <v>30</v>
      </c>
      <c r="F35" s="20" t="s">
        <v>158</v>
      </c>
      <c r="G35" s="20" t="s">
        <v>40</v>
      </c>
      <c r="H35" s="20" t="s">
        <v>102</v>
      </c>
      <c r="I35" s="20" t="s">
        <v>109</v>
      </c>
      <c r="J35" s="20">
        <v>9</v>
      </c>
      <c r="K35" s="22">
        <v>570</v>
      </c>
      <c r="L35" s="22">
        <v>5130</v>
      </c>
      <c r="M35" s="22">
        <v>4203.83</v>
      </c>
      <c r="N35" s="22">
        <v>926.17</v>
      </c>
      <c r="O35" s="23">
        <v>0.18049999999999999</v>
      </c>
      <c r="P35" s="20" t="s">
        <v>80</v>
      </c>
    </row>
    <row r="36" spans="1:16" x14ac:dyDescent="0.3">
      <c r="A36" s="16" t="s">
        <v>162</v>
      </c>
      <c r="B36" s="17">
        <v>45318</v>
      </c>
      <c r="C36" s="16" t="s">
        <v>116</v>
      </c>
      <c r="D36" s="16" t="s">
        <v>53</v>
      </c>
      <c r="E36" s="16" t="s">
        <v>29</v>
      </c>
      <c r="F36" s="16" t="s">
        <v>150</v>
      </c>
      <c r="G36" s="16" t="s">
        <v>41</v>
      </c>
      <c r="H36" s="16" t="s">
        <v>163</v>
      </c>
      <c r="I36" s="16" t="s">
        <v>117</v>
      </c>
      <c r="J36" s="16">
        <v>5</v>
      </c>
      <c r="K36" s="18">
        <v>3170</v>
      </c>
      <c r="L36" s="18">
        <v>15850</v>
      </c>
      <c r="M36" s="18">
        <v>10085.18</v>
      </c>
      <c r="N36" s="18">
        <v>5764.82</v>
      </c>
      <c r="O36" s="19">
        <v>0.36370000000000002</v>
      </c>
      <c r="P36" s="16" t="s">
        <v>80</v>
      </c>
    </row>
    <row r="37" spans="1:16" x14ac:dyDescent="0.3">
      <c r="A37" s="20" t="s">
        <v>164</v>
      </c>
      <c r="B37" s="21">
        <v>45518</v>
      </c>
      <c r="C37" s="20" t="s">
        <v>90</v>
      </c>
      <c r="D37" s="20" t="s">
        <v>56</v>
      </c>
      <c r="E37" s="20" t="s">
        <v>33</v>
      </c>
      <c r="F37" s="20" t="s">
        <v>104</v>
      </c>
      <c r="G37" s="20" t="s">
        <v>41</v>
      </c>
      <c r="H37" s="20" t="s">
        <v>163</v>
      </c>
      <c r="I37" s="20" t="s">
        <v>85</v>
      </c>
      <c r="J37" s="20">
        <v>5</v>
      </c>
      <c r="K37" s="22">
        <v>6540</v>
      </c>
      <c r="L37" s="22">
        <v>32700</v>
      </c>
      <c r="M37" s="22">
        <v>21105.919999999998</v>
      </c>
      <c r="N37" s="22">
        <v>11594.08</v>
      </c>
      <c r="O37" s="23">
        <v>0.35460000000000003</v>
      </c>
      <c r="P37" s="20" t="s">
        <v>80</v>
      </c>
    </row>
    <row r="38" spans="1:16" x14ac:dyDescent="0.3">
      <c r="A38" s="16" t="s">
        <v>165</v>
      </c>
      <c r="B38" s="17">
        <v>45590</v>
      </c>
      <c r="C38" s="16" t="s">
        <v>107</v>
      </c>
      <c r="D38" s="16" t="s">
        <v>57</v>
      </c>
      <c r="E38" s="16" t="s">
        <v>33</v>
      </c>
      <c r="F38" s="16" t="s">
        <v>99</v>
      </c>
      <c r="G38" s="16" t="s">
        <v>41</v>
      </c>
      <c r="H38" s="16" t="s">
        <v>163</v>
      </c>
      <c r="I38" s="16" t="s">
        <v>85</v>
      </c>
      <c r="J38" s="16">
        <v>2</v>
      </c>
      <c r="K38" s="18">
        <v>17490</v>
      </c>
      <c r="L38" s="18">
        <v>34980</v>
      </c>
      <c r="M38" s="18">
        <v>21341.56</v>
      </c>
      <c r="N38" s="18">
        <v>13638.44</v>
      </c>
      <c r="O38" s="19">
        <v>0.38990000000000002</v>
      </c>
      <c r="P38" s="16" t="s">
        <v>80</v>
      </c>
    </row>
    <row r="39" spans="1:16" x14ac:dyDescent="0.3">
      <c r="A39" s="20" t="s">
        <v>166</v>
      </c>
      <c r="B39" s="21">
        <v>45419</v>
      </c>
      <c r="C39" s="20" t="s">
        <v>13</v>
      </c>
      <c r="D39" s="20" t="s">
        <v>55</v>
      </c>
      <c r="E39" s="20" t="s">
        <v>29</v>
      </c>
      <c r="F39" s="20" t="s">
        <v>135</v>
      </c>
      <c r="G39" s="20" t="s">
        <v>42</v>
      </c>
      <c r="H39" s="20" t="s">
        <v>133</v>
      </c>
      <c r="I39" s="20" t="s">
        <v>117</v>
      </c>
      <c r="J39" s="20">
        <v>8</v>
      </c>
      <c r="K39" s="22">
        <v>11440</v>
      </c>
      <c r="L39" s="22">
        <v>91520</v>
      </c>
      <c r="M39" s="22">
        <v>60727.13</v>
      </c>
      <c r="N39" s="22">
        <v>30792.87</v>
      </c>
      <c r="O39" s="23">
        <v>0.33650000000000002</v>
      </c>
      <c r="P39" s="20" t="s">
        <v>80</v>
      </c>
    </row>
    <row r="40" spans="1:16" x14ac:dyDescent="0.3">
      <c r="A40" s="16" t="s">
        <v>167</v>
      </c>
      <c r="B40" s="17">
        <v>45382</v>
      </c>
      <c r="C40" s="16" t="s">
        <v>122</v>
      </c>
      <c r="D40" s="16" t="s">
        <v>53</v>
      </c>
      <c r="E40" s="16" t="s">
        <v>32</v>
      </c>
      <c r="F40" s="16" t="s">
        <v>145</v>
      </c>
      <c r="G40" s="16" t="s">
        <v>39</v>
      </c>
      <c r="H40" s="16" t="s">
        <v>137</v>
      </c>
      <c r="I40" s="16" t="s">
        <v>146</v>
      </c>
      <c r="J40" s="16">
        <v>8</v>
      </c>
      <c r="K40" s="18">
        <v>4110</v>
      </c>
      <c r="L40" s="18">
        <v>32880</v>
      </c>
      <c r="M40" s="18">
        <v>18850.740000000002</v>
      </c>
      <c r="N40" s="18">
        <v>14029.26</v>
      </c>
      <c r="O40" s="19">
        <v>0.42670000000000002</v>
      </c>
      <c r="P40" s="16" t="s">
        <v>80</v>
      </c>
    </row>
    <row r="41" spans="1:16" x14ac:dyDescent="0.3">
      <c r="A41" s="20" t="s">
        <v>168</v>
      </c>
      <c r="B41" s="21">
        <v>45347</v>
      </c>
      <c r="C41" s="20" t="s">
        <v>82</v>
      </c>
      <c r="D41" s="20" t="s">
        <v>53</v>
      </c>
      <c r="E41" s="20" t="s">
        <v>32</v>
      </c>
      <c r="F41" s="20" t="s">
        <v>145</v>
      </c>
      <c r="G41" s="20" t="s">
        <v>41</v>
      </c>
      <c r="H41" s="20" t="s">
        <v>169</v>
      </c>
      <c r="I41" s="20" t="s">
        <v>140</v>
      </c>
      <c r="J41" s="20">
        <v>15</v>
      </c>
      <c r="K41" s="22">
        <v>41380</v>
      </c>
      <c r="L41" s="22">
        <v>620700</v>
      </c>
      <c r="M41" s="22">
        <v>412786.7</v>
      </c>
      <c r="N41" s="22">
        <v>207913.3</v>
      </c>
      <c r="O41" s="23">
        <v>0.33500000000000002</v>
      </c>
      <c r="P41" s="20" t="s">
        <v>80</v>
      </c>
    </row>
    <row r="42" spans="1:16" x14ac:dyDescent="0.3">
      <c r="A42" s="16" t="s">
        <v>170</v>
      </c>
      <c r="B42" s="17">
        <v>45408</v>
      </c>
      <c r="C42" s="16" t="s">
        <v>142</v>
      </c>
      <c r="D42" s="16" t="s">
        <v>55</v>
      </c>
      <c r="E42" s="16" t="s">
        <v>30</v>
      </c>
      <c r="F42" s="16" t="s">
        <v>126</v>
      </c>
      <c r="G42" s="16" t="s">
        <v>39</v>
      </c>
      <c r="H42" s="16" t="s">
        <v>92</v>
      </c>
      <c r="I42" s="16" t="s">
        <v>131</v>
      </c>
      <c r="J42" s="16">
        <v>3</v>
      </c>
      <c r="K42" s="18">
        <v>1750</v>
      </c>
      <c r="L42" s="18">
        <v>5250</v>
      </c>
      <c r="M42" s="18">
        <v>2642.38</v>
      </c>
      <c r="N42" s="18">
        <v>2607.62</v>
      </c>
      <c r="O42" s="19">
        <v>0.49669999999999997</v>
      </c>
      <c r="P42" s="16" t="s">
        <v>80</v>
      </c>
    </row>
    <row r="43" spans="1:16" x14ac:dyDescent="0.3">
      <c r="A43" s="20" t="s">
        <v>171</v>
      </c>
      <c r="B43" s="21">
        <v>45620</v>
      </c>
      <c r="C43" s="20" t="s">
        <v>76</v>
      </c>
      <c r="D43" s="20" t="s">
        <v>57</v>
      </c>
      <c r="E43" s="20" t="s">
        <v>33</v>
      </c>
      <c r="F43" s="20" t="s">
        <v>83</v>
      </c>
      <c r="G43" s="20" t="s">
        <v>42</v>
      </c>
      <c r="H43" s="20" t="s">
        <v>156</v>
      </c>
      <c r="I43" s="20" t="s">
        <v>88</v>
      </c>
      <c r="J43" s="20">
        <v>9</v>
      </c>
      <c r="K43" s="22">
        <v>2440</v>
      </c>
      <c r="L43" s="22">
        <v>21960</v>
      </c>
      <c r="M43" s="22">
        <v>16077.87</v>
      </c>
      <c r="N43" s="22">
        <v>5882.13</v>
      </c>
      <c r="O43" s="23">
        <v>0.26790000000000003</v>
      </c>
      <c r="P43" s="20" t="s">
        <v>80</v>
      </c>
    </row>
    <row r="44" spans="1:16" x14ac:dyDescent="0.3">
      <c r="A44" s="16" t="s">
        <v>172</v>
      </c>
      <c r="B44" s="17">
        <v>45427</v>
      </c>
      <c r="C44" s="16" t="s">
        <v>13</v>
      </c>
      <c r="D44" s="16" t="s">
        <v>55</v>
      </c>
      <c r="E44" s="16" t="s">
        <v>29</v>
      </c>
      <c r="F44" s="16" t="s">
        <v>77</v>
      </c>
      <c r="G44" s="16" t="s">
        <v>42</v>
      </c>
      <c r="H44" s="16" t="s">
        <v>114</v>
      </c>
      <c r="I44" s="16" t="s">
        <v>117</v>
      </c>
      <c r="J44" s="16">
        <v>11</v>
      </c>
      <c r="K44" s="18">
        <v>11150</v>
      </c>
      <c r="L44" s="18">
        <v>122650</v>
      </c>
      <c r="M44" s="18">
        <v>86635.13</v>
      </c>
      <c r="N44" s="18">
        <v>36014.870000000003</v>
      </c>
      <c r="O44" s="19">
        <v>0.29360000000000003</v>
      </c>
      <c r="P44" s="16" t="s">
        <v>80</v>
      </c>
    </row>
    <row r="45" spans="1:16" x14ac:dyDescent="0.3">
      <c r="A45" s="20" t="s">
        <v>173</v>
      </c>
      <c r="B45" s="21">
        <v>45351</v>
      </c>
      <c r="C45" s="20" t="s">
        <v>82</v>
      </c>
      <c r="D45" s="20" t="s">
        <v>53</v>
      </c>
      <c r="E45" s="20" t="s">
        <v>32</v>
      </c>
      <c r="F45" s="20" t="s">
        <v>139</v>
      </c>
      <c r="G45" s="20" t="s">
        <v>39</v>
      </c>
      <c r="H45" s="20" t="s">
        <v>127</v>
      </c>
      <c r="I45" s="20" t="s">
        <v>146</v>
      </c>
      <c r="J45" s="20">
        <v>1</v>
      </c>
      <c r="K45" s="22">
        <v>3690</v>
      </c>
      <c r="L45" s="22">
        <v>3690</v>
      </c>
      <c r="M45" s="22">
        <v>2022.15</v>
      </c>
      <c r="N45" s="22">
        <v>1667.85</v>
      </c>
      <c r="O45" s="23">
        <v>0.45200000000000001</v>
      </c>
      <c r="P45" s="20" t="s">
        <v>80</v>
      </c>
    </row>
    <row r="46" spans="1:16" x14ac:dyDescent="0.3">
      <c r="A46" s="16" t="s">
        <v>174</v>
      </c>
      <c r="B46" s="17">
        <v>45643</v>
      </c>
      <c r="C46" s="16" t="s">
        <v>175</v>
      </c>
      <c r="D46" s="16" t="s">
        <v>57</v>
      </c>
      <c r="E46" s="16" t="s">
        <v>30</v>
      </c>
      <c r="F46" s="16" t="s">
        <v>158</v>
      </c>
      <c r="G46" s="16" t="s">
        <v>41</v>
      </c>
      <c r="H46" s="16" t="s">
        <v>129</v>
      </c>
      <c r="I46" s="16" t="s">
        <v>109</v>
      </c>
      <c r="J46" s="16">
        <v>4</v>
      </c>
      <c r="K46" s="18">
        <v>32290</v>
      </c>
      <c r="L46" s="18">
        <v>129160</v>
      </c>
      <c r="M46" s="18">
        <v>81115.649999999994</v>
      </c>
      <c r="N46" s="18">
        <v>48044.35</v>
      </c>
      <c r="O46" s="19">
        <v>0.372</v>
      </c>
      <c r="P46" s="16" t="s">
        <v>80</v>
      </c>
    </row>
    <row r="47" spans="1:16" x14ac:dyDescent="0.3">
      <c r="A47" s="20" t="s">
        <v>176</v>
      </c>
      <c r="B47" s="21">
        <v>45450</v>
      </c>
      <c r="C47" s="20" t="s">
        <v>125</v>
      </c>
      <c r="D47" s="20" t="s">
        <v>55</v>
      </c>
      <c r="E47" s="20" t="s">
        <v>32</v>
      </c>
      <c r="F47" s="20" t="s">
        <v>177</v>
      </c>
      <c r="G47" s="20" t="s">
        <v>41</v>
      </c>
      <c r="H47" s="20" t="s">
        <v>178</v>
      </c>
      <c r="I47" s="20" t="s">
        <v>146</v>
      </c>
      <c r="J47" s="20">
        <v>14</v>
      </c>
      <c r="K47" s="22">
        <v>8980</v>
      </c>
      <c r="L47" s="22">
        <v>125720</v>
      </c>
      <c r="M47" s="22">
        <v>79644.509999999995</v>
      </c>
      <c r="N47" s="22">
        <v>46075.49</v>
      </c>
      <c r="O47" s="23">
        <v>0.36649999999999999</v>
      </c>
      <c r="P47" s="20" t="s">
        <v>80</v>
      </c>
    </row>
    <row r="48" spans="1:16" x14ac:dyDescent="0.3">
      <c r="A48" s="16" t="s">
        <v>179</v>
      </c>
      <c r="B48" s="17">
        <v>45381</v>
      </c>
      <c r="C48" s="16" t="s">
        <v>122</v>
      </c>
      <c r="D48" s="16" t="s">
        <v>53</v>
      </c>
      <c r="E48" s="16" t="s">
        <v>33</v>
      </c>
      <c r="F48" s="16" t="s">
        <v>104</v>
      </c>
      <c r="G48" s="16" t="s">
        <v>40</v>
      </c>
      <c r="H48" s="16" t="s">
        <v>180</v>
      </c>
      <c r="I48" s="16" t="s">
        <v>88</v>
      </c>
      <c r="J48" s="16">
        <v>10</v>
      </c>
      <c r="K48" s="18">
        <v>1700</v>
      </c>
      <c r="L48" s="18">
        <v>17000</v>
      </c>
      <c r="M48" s="18">
        <v>14302.25</v>
      </c>
      <c r="N48" s="18">
        <v>2697.75</v>
      </c>
      <c r="O48" s="19">
        <v>0.15870000000000001</v>
      </c>
      <c r="P48" s="16" t="s">
        <v>80</v>
      </c>
    </row>
    <row r="49" spans="1:16" x14ac:dyDescent="0.3">
      <c r="A49" s="20" t="s">
        <v>181</v>
      </c>
      <c r="B49" s="21">
        <v>45588</v>
      </c>
      <c r="C49" s="20" t="s">
        <v>107</v>
      </c>
      <c r="D49" s="20" t="s">
        <v>57</v>
      </c>
      <c r="E49" s="20" t="s">
        <v>33</v>
      </c>
      <c r="F49" s="20" t="s">
        <v>104</v>
      </c>
      <c r="G49" s="20" t="s">
        <v>40</v>
      </c>
      <c r="H49" s="20" t="s">
        <v>159</v>
      </c>
      <c r="I49" s="20" t="s">
        <v>88</v>
      </c>
      <c r="J49" s="20">
        <v>7</v>
      </c>
      <c r="K49" s="22">
        <v>1000</v>
      </c>
      <c r="L49" s="22">
        <v>7000</v>
      </c>
      <c r="M49" s="22">
        <v>5732.18</v>
      </c>
      <c r="N49" s="22">
        <v>1267.82</v>
      </c>
      <c r="O49" s="23">
        <v>0.18110000000000001</v>
      </c>
      <c r="P49" s="20" t="s">
        <v>80</v>
      </c>
    </row>
    <row r="50" spans="1:16" x14ac:dyDescent="0.3">
      <c r="A50" s="16" t="s">
        <v>182</v>
      </c>
      <c r="B50" s="17">
        <v>45378</v>
      </c>
      <c r="C50" s="16" t="s">
        <v>122</v>
      </c>
      <c r="D50" s="16" t="s">
        <v>53</v>
      </c>
      <c r="E50" s="16" t="s">
        <v>29</v>
      </c>
      <c r="F50" s="16" t="s">
        <v>135</v>
      </c>
      <c r="G50" s="16" t="s">
        <v>42</v>
      </c>
      <c r="H50" s="16" t="s">
        <v>156</v>
      </c>
      <c r="I50" s="16" t="s">
        <v>117</v>
      </c>
      <c r="J50" s="16">
        <v>8</v>
      </c>
      <c r="K50" s="18">
        <v>12420</v>
      </c>
      <c r="L50" s="18">
        <v>99360</v>
      </c>
      <c r="M50" s="18">
        <v>67835.100000000006</v>
      </c>
      <c r="N50" s="18">
        <v>31524.9</v>
      </c>
      <c r="O50" s="19">
        <v>0.31730000000000003</v>
      </c>
      <c r="P50" s="16" t="s">
        <v>80</v>
      </c>
    </row>
    <row r="51" spans="1:16" x14ac:dyDescent="0.3">
      <c r="A51" s="20" t="s">
        <v>183</v>
      </c>
      <c r="B51" s="21">
        <v>45393</v>
      </c>
      <c r="C51" s="20" t="s">
        <v>142</v>
      </c>
      <c r="D51" s="20" t="s">
        <v>55</v>
      </c>
      <c r="E51" s="20" t="s">
        <v>30</v>
      </c>
      <c r="F51" s="20" t="s">
        <v>126</v>
      </c>
      <c r="G51" s="20" t="s">
        <v>38</v>
      </c>
      <c r="H51" s="20" t="s">
        <v>123</v>
      </c>
      <c r="I51" s="20" t="s">
        <v>109</v>
      </c>
      <c r="J51" s="20">
        <v>3</v>
      </c>
      <c r="K51" s="22">
        <v>50850</v>
      </c>
      <c r="L51" s="22">
        <v>152550</v>
      </c>
      <c r="M51" s="22">
        <v>119669.13</v>
      </c>
      <c r="N51" s="22">
        <v>32880.870000000003</v>
      </c>
      <c r="O51" s="23">
        <v>0.2155</v>
      </c>
      <c r="P51" s="20" t="s">
        <v>80</v>
      </c>
    </row>
    <row r="52" spans="1:16" x14ac:dyDescent="0.3">
      <c r="A52" s="16" t="s">
        <v>184</v>
      </c>
      <c r="B52" s="17">
        <v>45586</v>
      </c>
      <c r="C52" s="16" t="s">
        <v>107</v>
      </c>
      <c r="D52" s="16" t="s">
        <v>57</v>
      </c>
      <c r="E52" s="16" t="s">
        <v>30</v>
      </c>
      <c r="F52" s="16" t="s">
        <v>108</v>
      </c>
      <c r="G52" s="16" t="s">
        <v>41</v>
      </c>
      <c r="H52" s="16" t="s">
        <v>96</v>
      </c>
      <c r="I52" s="16" t="s">
        <v>131</v>
      </c>
      <c r="J52" s="16">
        <v>1</v>
      </c>
      <c r="K52" s="18">
        <v>14470</v>
      </c>
      <c r="L52" s="18">
        <v>14470</v>
      </c>
      <c r="M52" s="18">
        <v>8837.32</v>
      </c>
      <c r="N52" s="18">
        <v>5632.68</v>
      </c>
      <c r="O52" s="19">
        <v>0.38929999999999998</v>
      </c>
      <c r="P52" s="16" t="s">
        <v>80</v>
      </c>
    </row>
    <row r="53" spans="1:16" x14ac:dyDescent="0.3">
      <c r="A53" s="20" t="s">
        <v>185</v>
      </c>
      <c r="B53" s="21">
        <v>45346</v>
      </c>
      <c r="C53" s="20" t="s">
        <v>82</v>
      </c>
      <c r="D53" s="20" t="s">
        <v>53</v>
      </c>
      <c r="E53" s="20" t="s">
        <v>32</v>
      </c>
      <c r="F53" s="20" t="s">
        <v>145</v>
      </c>
      <c r="G53" s="20" t="s">
        <v>39</v>
      </c>
      <c r="H53" s="20" t="s">
        <v>127</v>
      </c>
      <c r="I53" s="20" t="s">
        <v>146</v>
      </c>
      <c r="J53" s="20">
        <v>4</v>
      </c>
      <c r="K53" s="22">
        <v>3010</v>
      </c>
      <c r="L53" s="22">
        <v>12040</v>
      </c>
      <c r="M53" s="22">
        <v>6674.42</v>
      </c>
      <c r="N53" s="22">
        <v>5365.58</v>
      </c>
      <c r="O53" s="23">
        <v>0.4456</v>
      </c>
      <c r="P53" s="20" t="s">
        <v>80</v>
      </c>
    </row>
    <row r="54" spans="1:16" x14ac:dyDescent="0.3">
      <c r="A54" s="16" t="s">
        <v>186</v>
      </c>
      <c r="B54" s="17">
        <v>45633</v>
      </c>
      <c r="C54" s="16" t="s">
        <v>175</v>
      </c>
      <c r="D54" s="16" t="s">
        <v>57</v>
      </c>
      <c r="E54" s="16" t="s">
        <v>33</v>
      </c>
      <c r="F54" s="16" t="s">
        <v>104</v>
      </c>
      <c r="G54" s="16" t="s">
        <v>42</v>
      </c>
      <c r="H54" s="16" t="s">
        <v>187</v>
      </c>
      <c r="I54" s="16" t="s">
        <v>88</v>
      </c>
      <c r="J54" s="16">
        <v>17</v>
      </c>
      <c r="K54" s="18">
        <v>9500</v>
      </c>
      <c r="L54" s="18">
        <v>161500</v>
      </c>
      <c r="M54" s="18">
        <v>114233.14</v>
      </c>
      <c r="N54" s="18">
        <v>47266.86</v>
      </c>
      <c r="O54" s="19">
        <v>0.29270000000000002</v>
      </c>
      <c r="P54" s="16" t="s">
        <v>80</v>
      </c>
    </row>
    <row r="55" spans="1:16" x14ac:dyDescent="0.3">
      <c r="A55" s="20" t="s">
        <v>188</v>
      </c>
      <c r="B55" s="21">
        <v>45520</v>
      </c>
      <c r="C55" s="20" t="s">
        <v>90</v>
      </c>
      <c r="D55" s="20" t="s">
        <v>56</v>
      </c>
      <c r="E55" s="20" t="s">
        <v>30</v>
      </c>
      <c r="F55" s="20" t="s">
        <v>108</v>
      </c>
      <c r="G55" s="20" t="s">
        <v>41</v>
      </c>
      <c r="H55" s="20" t="s">
        <v>129</v>
      </c>
      <c r="I55" s="20" t="s">
        <v>131</v>
      </c>
      <c r="J55" s="20">
        <v>9</v>
      </c>
      <c r="K55" s="22">
        <v>38330</v>
      </c>
      <c r="L55" s="22">
        <v>344970</v>
      </c>
      <c r="M55" s="22">
        <v>215060.73</v>
      </c>
      <c r="N55" s="22">
        <v>129909.27</v>
      </c>
      <c r="O55" s="23">
        <v>0.37659999999999999</v>
      </c>
      <c r="P55" s="20" t="s">
        <v>80</v>
      </c>
    </row>
    <row r="56" spans="1:16" x14ac:dyDescent="0.3">
      <c r="A56" s="16" t="s">
        <v>189</v>
      </c>
      <c r="B56" s="17">
        <v>45612</v>
      </c>
      <c r="C56" s="16" t="s">
        <v>76</v>
      </c>
      <c r="D56" s="16" t="s">
        <v>57</v>
      </c>
      <c r="E56" s="16" t="s">
        <v>30</v>
      </c>
      <c r="F56" s="16" t="s">
        <v>158</v>
      </c>
      <c r="G56" s="16" t="s">
        <v>41</v>
      </c>
      <c r="H56" s="16" t="s">
        <v>129</v>
      </c>
      <c r="I56" s="16" t="s">
        <v>109</v>
      </c>
      <c r="J56" s="16">
        <v>11</v>
      </c>
      <c r="K56" s="18">
        <v>14020</v>
      </c>
      <c r="L56" s="18">
        <v>154220</v>
      </c>
      <c r="M56" s="18">
        <v>103023.44</v>
      </c>
      <c r="N56" s="18">
        <v>51196.56</v>
      </c>
      <c r="O56" s="19">
        <v>0.33200000000000002</v>
      </c>
      <c r="P56" s="16" t="s">
        <v>80</v>
      </c>
    </row>
    <row r="57" spans="1:16" x14ac:dyDescent="0.3">
      <c r="A57" s="20" t="s">
        <v>190</v>
      </c>
      <c r="B57" s="21">
        <v>45362</v>
      </c>
      <c r="C57" s="20" t="s">
        <v>122</v>
      </c>
      <c r="D57" s="20" t="s">
        <v>53</v>
      </c>
      <c r="E57" s="20" t="s">
        <v>30</v>
      </c>
      <c r="F57" s="20" t="s">
        <v>126</v>
      </c>
      <c r="G57" s="20" t="s">
        <v>41</v>
      </c>
      <c r="H57" s="20" t="s">
        <v>169</v>
      </c>
      <c r="I57" s="20" t="s">
        <v>109</v>
      </c>
      <c r="J57" s="20">
        <v>14</v>
      </c>
      <c r="K57" s="22">
        <v>6020</v>
      </c>
      <c r="L57" s="22">
        <v>84280</v>
      </c>
      <c r="M57" s="22">
        <v>56207.33</v>
      </c>
      <c r="N57" s="22">
        <v>28072.67</v>
      </c>
      <c r="O57" s="23">
        <v>0.33310000000000001</v>
      </c>
      <c r="P57" s="20" t="s">
        <v>80</v>
      </c>
    </row>
    <row r="58" spans="1:16" x14ac:dyDescent="0.3">
      <c r="A58" s="16" t="s">
        <v>191</v>
      </c>
      <c r="B58" s="17">
        <v>45323</v>
      </c>
      <c r="C58" s="16" t="s">
        <v>82</v>
      </c>
      <c r="D58" s="16" t="s">
        <v>53</v>
      </c>
      <c r="E58" s="16" t="s">
        <v>30</v>
      </c>
      <c r="F58" s="16" t="s">
        <v>158</v>
      </c>
      <c r="G58" s="16" t="s">
        <v>41</v>
      </c>
      <c r="H58" s="16" t="s">
        <v>178</v>
      </c>
      <c r="I58" s="16" t="s">
        <v>109</v>
      </c>
      <c r="J58" s="16">
        <v>1</v>
      </c>
      <c r="K58" s="18">
        <v>20880</v>
      </c>
      <c r="L58" s="18">
        <v>20880</v>
      </c>
      <c r="M58" s="18">
        <v>12647.56</v>
      </c>
      <c r="N58" s="18">
        <v>8232.44</v>
      </c>
      <c r="O58" s="19">
        <v>0.39429999999999998</v>
      </c>
      <c r="P58" s="16" t="s">
        <v>80</v>
      </c>
    </row>
    <row r="59" spans="1:16" x14ac:dyDescent="0.3">
      <c r="A59" s="20" t="s">
        <v>192</v>
      </c>
      <c r="B59" s="21">
        <v>45491</v>
      </c>
      <c r="C59" s="20" t="s">
        <v>98</v>
      </c>
      <c r="D59" s="20" t="s">
        <v>56</v>
      </c>
      <c r="E59" s="20" t="s">
        <v>32</v>
      </c>
      <c r="F59" s="20" t="s">
        <v>139</v>
      </c>
      <c r="G59" s="20" t="s">
        <v>42</v>
      </c>
      <c r="H59" s="20" t="s">
        <v>187</v>
      </c>
      <c r="I59" s="20" t="s">
        <v>140</v>
      </c>
      <c r="J59" s="20">
        <v>14</v>
      </c>
      <c r="K59" s="22">
        <v>3920</v>
      </c>
      <c r="L59" s="22">
        <v>54880</v>
      </c>
      <c r="M59" s="22">
        <v>38494.800000000003</v>
      </c>
      <c r="N59" s="22">
        <v>16385.2</v>
      </c>
      <c r="O59" s="23">
        <v>0.29859999999999998</v>
      </c>
      <c r="P59" s="20" t="s">
        <v>80</v>
      </c>
    </row>
    <row r="60" spans="1:16" x14ac:dyDescent="0.3">
      <c r="A60" s="16" t="s">
        <v>193</v>
      </c>
      <c r="B60" s="17">
        <v>45634</v>
      </c>
      <c r="C60" s="16" t="s">
        <v>175</v>
      </c>
      <c r="D60" s="16" t="s">
        <v>57</v>
      </c>
      <c r="E60" s="16" t="s">
        <v>32</v>
      </c>
      <c r="F60" s="16" t="s">
        <v>139</v>
      </c>
      <c r="G60" s="16" t="s">
        <v>39</v>
      </c>
      <c r="H60" s="16" t="s">
        <v>105</v>
      </c>
      <c r="I60" s="16" t="s">
        <v>146</v>
      </c>
      <c r="J60" s="16">
        <v>18</v>
      </c>
      <c r="K60" s="18">
        <v>4910</v>
      </c>
      <c r="L60" s="18">
        <v>88380</v>
      </c>
      <c r="M60" s="18">
        <v>52789.67</v>
      </c>
      <c r="N60" s="18">
        <v>35590.33</v>
      </c>
      <c r="O60" s="19">
        <v>0.4027</v>
      </c>
      <c r="P60" s="16" t="s">
        <v>80</v>
      </c>
    </row>
    <row r="61" spans="1:16" x14ac:dyDescent="0.3">
      <c r="A61" s="20" t="s">
        <v>194</v>
      </c>
      <c r="B61" s="21">
        <v>45580</v>
      </c>
      <c r="C61" s="20" t="s">
        <v>107</v>
      </c>
      <c r="D61" s="20" t="s">
        <v>57</v>
      </c>
      <c r="E61" s="20" t="s">
        <v>29</v>
      </c>
      <c r="F61" s="20" t="s">
        <v>77</v>
      </c>
      <c r="G61" s="20" t="s">
        <v>41</v>
      </c>
      <c r="H61" s="20" t="s">
        <v>96</v>
      </c>
      <c r="I61" s="20" t="s">
        <v>79</v>
      </c>
      <c r="J61" s="20">
        <v>9</v>
      </c>
      <c r="K61" s="22">
        <v>11540</v>
      </c>
      <c r="L61" s="22">
        <v>103860</v>
      </c>
      <c r="M61" s="22">
        <v>68764.63</v>
      </c>
      <c r="N61" s="22">
        <v>35095.370000000003</v>
      </c>
      <c r="O61" s="23">
        <v>0.33789999999999998</v>
      </c>
      <c r="P61" s="20" t="s">
        <v>80</v>
      </c>
    </row>
    <row r="62" spans="1:16" x14ac:dyDescent="0.3">
      <c r="A62" s="16" t="s">
        <v>195</v>
      </c>
      <c r="B62" s="17">
        <v>45459</v>
      </c>
      <c r="C62" s="16" t="s">
        <v>125</v>
      </c>
      <c r="D62" s="16" t="s">
        <v>55</v>
      </c>
      <c r="E62" s="16" t="s">
        <v>31</v>
      </c>
      <c r="F62" s="16" t="s">
        <v>91</v>
      </c>
      <c r="G62" s="16" t="s">
        <v>40</v>
      </c>
      <c r="H62" s="16" t="s">
        <v>102</v>
      </c>
      <c r="I62" s="16" t="s">
        <v>112</v>
      </c>
      <c r="J62" s="16">
        <v>16</v>
      </c>
      <c r="K62" s="18">
        <v>1700</v>
      </c>
      <c r="L62" s="18">
        <v>27200</v>
      </c>
      <c r="M62" s="18">
        <v>23611.279999999999</v>
      </c>
      <c r="N62" s="18">
        <v>3588.72</v>
      </c>
      <c r="O62" s="19">
        <v>0.13189999999999999</v>
      </c>
      <c r="P62" s="16" t="s">
        <v>80</v>
      </c>
    </row>
    <row r="63" spans="1:16" x14ac:dyDescent="0.3">
      <c r="A63" s="20" t="s">
        <v>196</v>
      </c>
      <c r="B63" s="21">
        <v>45471</v>
      </c>
      <c r="C63" s="20" t="s">
        <v>125</v>
      </c>
      <c r="D63" s="20" t="s">
        <v>55</v>
      </c>
      <c r="E63" s="20" t="s">
        <v>30</v>
      </c>
      <c r="F63" s="20" t="s">
        <v>108</v>
      </c>
      <c r="G63" s="20" t="s">
        <v>38</v>
      </c>
      <c r="H63" s="20" t="s">
        <v>84</v>
      </c>
      <c r="I63" s="20" t="s">
        <v>109</v>
      </c>
      <c r="J63" s="20">
        <v>7</v>
      </c>
      <c r="K63" s="22">
        <v>76220</v>
      </c>
      <c r="L63" s="22">
        <v>533540</v>
      </c>
      <c r="M63" s="22">
        <v>398061.98</v>
      </c>
      <c r="N63" s="22">
        <v>135478.01999999999</v>
      </c>
      <c r="O63" s="23">
        <v>0.25390000000000001</v>
      </c>
      <c r="P63" s="20" t="s">
        <v>80</v>
      </c>
    </row>
    <row r="64" spans="1:16" x14ac:dyDescent="0.3">
      <c r="A64" s="16" t="s">
        <v>197</v>
      </c>
      <c r="B64" s="17">
        <v>45414</v>
      </c>
      <c r="C64" s="16" t="s">
        <v>13</v>
      </c>
      <c r="D64" s="16" t="s">
        <v>55</v>
      </c>
      <c r="E64" s="16" t="s">
        <v>30</v>
      </c>
      <c r="F64" s="16" t="s">
        <v>158</v>
      </c>
      <c r="G64" s="16" t="s">
        <v>38</v>
      </c>
      <c r="H64" s="16" t="s">
        <v>123</v>
      </c>
      <c r="I64" s="16" t="s">
        <v>109</v>
      </c>
      <c r="J64" s="16">
        <v>12</v>
      </c>
      <c r="K64" s="18">
        <v>57460</v>
      </c>
      <c r="L64" s="18">
        <v>689520</v>
      </c>
      <c r="M64" s="18">
        <v>560732.19999999995</v>
      </c>
      <c r="N64" s="18">
        <v>128787.8</v>
      </c>
      <c r="O64" s="19">
        <v>0.18679999999999999</v>
      </c>
      <c r="P64" s="16" t="s">
        <v>80</v>
      </c>
    </row>
    <row r="65" spans="1:16" x14ac:dyDescent="0.3">
      <c r="A65" s="20" t="s">
        <v>198</v>
      </c>
      <c r="B65" s="21">
        <v>45350</v>
      </c>
      <c r="C65" s="20" t="s">
        <v>82</v>
      </c>
      <c r="D65" s="20" t="s">
        <v>53</v>
      </c>
      <c r="E65" s="20" t="s">
        <v>30</v>
      </c>
      <c r="F65" s="20" t="s">
        <v>158</v>
      </c>
      <c r="G65" s="20" t="s">
        <v>38</v>
      </c>
      <c r="H65" s="20" t="s">
        <v>119</v>
      </c>
      <c r="I65" s="20" t="s">
        <v>109</v>
      </c>
      <c r="J65" s="20">
        <v>13</v>
      </c>
      <c r="K65" s="22">
        <v>48180</v>
      </c>
      <c r="L65" s="22">
        <v>626340</v>
      </c>
      <c r="M65" s="22">
        <v>495018.15</v>
      </c>
      <c r="N65" s="22">
        <v>131321.85</v>
      </c>
      <c r="O65" s="23">
        <v>0.2097</v>
      </c>
      <c r="P65" s="20" t="s">
        <v>80</v>
      </c>
    </row>
    <row r="66" spans="1:16" x14ac:dyDescent="0.3">
      <c r="A66" s="16" t="s">
        <v>199</v>
      </c>
      <c r="B66" s="17">
        <v>45330</v>
      </c>
      <c r="C66" s="16" t="s">
        <v>82</v>
      </c>
      <c r="D66" s="16" t="s">
        <v>53</v>
      </c>
      <c r="E66" s="16" t="s">
        <v>33</v>
      </c>
      <c r="F66" s="16" t="s">
        <v>104</v>
      </c>
      <c r="G66" s="16" t="s">
        <v>39</v>
      </c>
      <c r="H66" s="16" t="s">
        <v>92</v>
      </c>
      <c r="I66" s="16" t="s">
        <v>85</v>
      </c>
      <c r="J66" s="16">
        <v>20</v>
      </c>
      <c r="K66" s="18">
        <v>4330</v>
      </c>
      <c r="L66" s="18">
        <v>86600</v>
      </c>
      <c r="M66" s="18">
        <v>44984.13</v>
      </c>
      <c r="N66" s="18">
        <v>41615.870000000003</v>
      </c>
      <c r="O66" s="19">
        <v>0.48060000000000003</v>
      </c>
      <c r="P66" s="16" t="s">
        <v>80</v>
      </c>
    </row>
    <row r="67" spans="1:16" x14ac:dyDescent="0.3">
      <c r="A67" s="20" t="s">
        <v>200</v>
      </c>
      <c r="B67" s="21">
        <v>45581</v>
      </c>
      <c r="C67" s="20" t="s">
        <v>107</v>
      </c>
      <c r="D67" s="20" t="s">
        <v>57</v>
      </c>
      <c r="E67" s="20" t="s">
        <v>29</v>
      </c>
      <c r="F67" s="20" t="s">
        <v>135</v>
      </c>
      <c r="G67" s="20" t="s">
        <v>42</v>
      </c>
      <c r="H67" s="20" t="s">
        <v>114</v>
      </c>
      <c r="I67" s="20" t="s">
        <v>117</v>
      </c>
      <c r="J67" s="20">
        <v>11</v>
      </c>
      <c r="K67" s="22">
        <v>1780</v>
      </c>
      <c r="L67" s="22">
        <v>19580</v>
      </c>
      <c r="M67" s="22">
        <v>14660.23</v>
      </c>
      <c r="N67" s="22">
        <v>4919.7700000000004</v>
      </c>
      <c r="O67" s="23">
        <v>0.25130000000000002</v>
      </c>
      <c r="P67" s="20" t="s">
        <v>80</v>
      </c>
    </row>
    <row r="68" spans="1:16" x14ac:dyDescent="0.3">
      <c r="A68" s="16" t="s">
        <v>201</v>
      </c>
      <c r="B68" s="17">
        <v>45542</v>
      </c>
      <c r="C68" s="16" t="s">
        <v>202</v>
      </c>
      <c r="D68" s="16" t="s">
        <v>56</v>
      </c>
      <c r="E68" s="16" t="s">
        <v>29</v>
      </c>
      <c r="F68" s="16" t="s">
        <v>135</v>
      </c>
      <c r="G68" s="16" t="s">
        <v>40</v>
      </c>
      <c r="H68" s="16" t="s">
        <v>78</v>
      </c>
      <c r="I68" s="16" t="s">
        <v>117</v>
      </c>
      <c r="J68" s="16">
        <v>17</v>
      </c>
      <c r="K68" s="18">
        <v>980</v>
      </c>
      <c r="L68" s="18">
        <v>16660</v>
      </c>
      <c r="M68" s="18">
        <v>12885.72</v>
      </c>
      <c r="N68" s="18">
        <v>3774.28</v>
      </c>
      <c r="O68" s="19">
        <v>0.22650000000000001</v>
      </c>
      <c r="P68" s="16" t="s">
        <v>80</v>
      </c>
    </row>
    <row r="69" spans="1:16" x14ac:dyDescent="0.3">
      <c r="A69" s="20" t="s">
        <v>203</v>
      </c>
      <c r="B69" s="21">
        <v>45567</v>
      </c>
      <c r="C69" s="20" t="s">
        <v>107</v>
      </c>
      <c r="D69" s="20" t="s">
        <v>57</v>
      </c>
      <c r="E69" s="20" t="s">
        <v>32</v>
      </c>
      <c r="F69" s="20" t="s">
        <v>177</v>
      </c>
      <c r="G69" s="20" t="s">
        <v>41</v>
      </c>
      <c r="H69" s="20" t="s">
        <v>129</v>
      </c>
      <c r="I69" s="20" t="s">
        <v>146</v>
      </c>
      <c r="J69" s="20">
        <v>3</v>
      </c>
      <c r="K69" s="22">
        <v>43030</v>
      </c>
      <c r="L69" s="22">
        <v>129090</v>
      </c>
      <c r="M69" s="22">
        <v>86762.32</v>
      </c>
      <c r="N69" s="22">
        <v>42327.68</v>
      </c>
      <c r="O69" s="23">
        <v>0.32790000000000002</v>
      </c>
      <c r="P69" s="20" t="s">
        <v>80</v>
      </c>
    </row>
    <row r="70" spans="1:16" x14ac:dyDescent="0.3">
      <c r="A70" s="16" t="s">
        <v>204</v>
      </c>
      <c r="B70" s="17">
        <v>45529</v>
      </c>
      <c r="C70" s="16" t="s">
        <v>90</v>
      </c>
      <c r="D70" s="16" t="s">
        <v>56</v>
      </c>
      <c r="E70" s="16" t="s">
        <v>33</v>
      </c>
      <c r="F70" s="16" t="s">
        <v>104</v>
      </c>
      <c r="G70" s="16" t="s">
        <v>41</v>
      </c>
      <c r="H70" s="16" t="s">
        <v>163</v>
      </c>
      <c r="I70" s="16" t="s">
        <v>88</v>
      </c>
      <c r="J70" s="16">
        <v>11</v>
      </c>
      <c r="K70" s="18">
        <v>26230</v>
      </c>
      <c r="L70" s="18">
        <v>288530</v>
      </c>
      <c r="M70" s="18">
        <v>196724.37</v>
      </c>
      <c r="N70" s="18">
        <v>91805.63</v>
      </c>
      <c r="O70" s="19">
        <v>0.31819999999999998</v>
      </c>
      <c r="P70" s="16" t="s">
        <v>80</v>
      </c>
    </row>
    <row r="71" spans="1:16" x14ac:dyDescent="0.3">
      <c r="A71" s="20" t="s">
        <v>205</v>
      </c>
      <c r="B71" s="21">
        <v>45424</v>
      </c>
      <c r="C71" s="20" t="s">
        <v>13</v>
      </c>
      <c r="D71" s="20" t="s">
        <v>55</v>
      </c>
      <c r="E71" s="20" t="s">
        <v>31</v>
      </c>
      <c r="F71" s="20" t="s">
        <v>91</v>
      </c>
      <c r="G71" s="20" t="s">
        <v>42</v>
      </c>
      <c r="H71" s="20" t="s">
        <v>133</v>
      </c>
      <c r="I71" s="20" t="s">
        <v>112</v>
      </c>
      <c r="J71" s="20">
        <v>7</v>
      </c>
      <c r="K71" s="22">
        <v>940</v>
      </c>
      <c r="L71" s="22">
        <v>6580</v>
      </c>
      <c r="M71" s="22">
        <v>4878.67</v>
      </c>
      <c r="N71" s="22">
        <v>1701.33</v>
      </c>
      <c r="O71" s="23">
        <v>0.2586</v>
      </c>
      <c r="P71" s="20" t="s">
        <v>80</v>
      </c>
    </row>
    <row r="72" spans="1:16" x14ac:dyDescent="0.3">
      <c r="A72" s="16" t="s">
        <v>206</v>
      </c>
      <c r="B72" s="17">
        <v>45542</v>
      </c>
      <c r="C72" s="16" t="s">
        <v>202</v>
      </c>
      <c r="D72" s="16" t="s">
        <v>56</v>
      </c>
      <c r="E72" s="16" t="s">
        <v>33</v>
      </c>
      <c r="F72" s="16" t="s">
        <v>99</v>
      </c>
      <c r="G72" s="16" t="s">
        <v>41</v>
      </c>
      <c r="H72" s="16" t="s">
        <v>96</v>
      </c>
      <c r="I72" s="16" t="s">
        <v>88</v>
      </c>
      <c r="J72" s="16">
        <v>3</v>
      </c>
      <c r="K72" s="18">
        <v>40270</v>
      </c>
      <c r="L72" s="18">
        <v>120810</v>
      </c>
      <c r="M72" s="18">
        <v>81012.34</v>
      </c>
      <c r="N72" s="18">
        <v>39797.660000000003</v>
      </c>
      <c r="O72" s="19">
        <v>0.32940000000000003</v>
      </c>
      <c r="P72" s="16" t="s">
        <v>80</v>
      </c>
    </row>
    <row r="73" spans="1:16" x14ac:dyDescent="0.3">
      <c r="A73" s="20" t="s">
        <v>207</v>
      </c>
      <c r="B73" s="21">
        <v>45416</v>
      </c>
      <c r="C73" s="20" t="s">
        <v>13</v>
      </c>
      <c r="D73" s="20" t="s">
        <v>55</v>
      </c>
      <c r="E73" s="20" t="s">
        <v>31</v>
      </c>
      <c r="F73" s="20" t="s">
        <v>208</v>
      </c>
      <c r="G73" s="20" t="s">
        <v>42</v>
      </c>
      <c r="H73" s="20" t="s">
        <v>187</v>
      </c>
      <c r="I73" s="20" t="s">
        <v>112</v>
      </c>
      <c r="J73" s="20">
        <v>12</v>
      </c>
      <c r="K73" s="22">
        <v>8660</v>
      </c>
      <c r="L73" s="22">
        <v>103920</v>
      </c>
      <c r="M73" s="22">
        <v>73518.16</v>
      </c>
      <c r="N73" s="22">
        <v>30401.84</v>
      </c>
      <c r="O73" s="23">
        <v>0.29260000000000003</v>
      </c>
      <c r="P73" s="20" t="s">
        <v>80</v>
      </c>
    </row>
    <row r="74" spans="1:16" x14ac:dyDescent="0.3">
      <c r="A74" s="16" t="s">
        <v>209</v>
      </c>
      <c r="B74" s="17">
        <v>45461</v>
      </c>
      <c r="C74" s="16" t="s">
        <v>125</v>
      </c>
      <c r="D74" s="16" t="s">
        <v>55</v>
      </c>
      <c r="E74" s="16" t="s">
        <v>31</v>
      </c>
      <c r="F74" s="16" t="s">
        <v>208</v>
      </c>
      <c r="G74" s="16" t="s">
        <v>41</v>
      </c>
      <c r="H74" s="16" t="s">
        <v>129</v>
      </c>
      <c r="I74" s="16" t="s">
        <v>112</v>
      </c>
      <c r="J74" s="16">
        <v>4</v>
      </c>
      <c r="K74" s="18">
        <v>14820</v>
      </c>
      <c r="L74" s="18">
        <v>59280</v>
      </c>
      <c r="M74" s="18">
        <v>37220.230000000003</v>
      </c>
      <c r="N74" s="18">
        <v>22059.77</v>
      </c>
      <c r="O74" s="19">
        <v>0.37209999999999999</v>
      </c>
      <c r="P74" s="16" t="s">
        <v>80</v>
      </c>
    </row>
    <row r="75" spans="1:16" x14ac:dyDescent="0.3">
      <c r="A75" s="20" t="s">
        <v>210</v>
      </c>
      <c r="B75" s="21">
        <v>45566</v>
      </c>
      <c r="C75" s="20" t="s">
        <v>107</v>
      </c>
      <c r="D75" s="20" t="s">
        <v>57</v>
      </c>
      <c r="E75" s="20" t="s">
        <v>30</v>
      </c>
      <c r="F75" s="20" t="s">
        <v>126</v>
      </c>
      <c r="G75" s="20" t="s">
        <v>39</v>
      </c>
      <c r="H75" s="20" t="s">
        <v>92</v>
      </c>
      <c r="I75" s="20" t="s">
        <v>131</v>
      </c>
      <c r="J75" s="20">
        <v>17</v>
      </c>
      <c r="K75" s="22">
        <v>3760</v>
      </c>
      <c r="L75" s="22">
        <v>63920</v>
      </c>
      <c r="M75" s="22">
        <v>34537.31</v>
      </c>
      <c r="N75" s="22">
        <v>29382.69</v>
      </c>
      <c r="O75" s="23">
        <v>0.4597</v>
      </c>
      <c r="P75" s="20" t="s">
        <v>80</v>
      </c>
    </row>
    <row r="76" spans="1:16" x14ac:dyDescent="0.3">
      <c r="A76" s="16" t="s">
        <v>211</v>
      </c>
      <c r="B76" s="17">
        <v>45391</v>
      </c>
      <c r="C76" s="16" t="s">
        <v>142</v>
      </c>
      <c r="D76" s="16" t="s">
        <v>55</v>
      </c>
      <c r="E76" s="16" t="s">
        <v>31</v>
      </c>
      <c r="F76" s="16" t="s">
        <v>95</v>
      </c>
      <c r="G76" s="16" t="s">
        <v>40</v>
      </c>
      <c r="H76" s="16" t="s">
        <v>102</v>
      </c>
      <c r="I76" s="16" t="s">
        <v>93</v>
      </c>
      <c r="J76" s="16">
        <v>18</v>
      </c>
      <c r="K76" s="18">
        <v>230</v>
      </c>
      <c r="L76" s="18">
        <v>4140</v>
      </c>
      <c r="M76" s="18">
        <v>3549.39</v>
      </c>
      <c r="N76" s="18">
        <v>590.61</v>
      </c>
      <c r="O76" s="19">
        <v>0.14269999999999999</v>
      </c>
      <c r="P76" s="16" t="s">
        <v>110</v>
      </c>
    </row>
    <row r="77" spans="1:16" x14ac:dyDescent="0.3">
      <c r="A77" s="20" t="s">
        <v>212</v>
      </c>
      <c r="B77" s="21">
        <v>45319</v>
      </c>
      <c r="C77" s="20" t="s">
        <v>116</v>
      </c>
      <c r="D77" s="20" t="s">
        <v>53</v>
      </c>
      <c r="E77" s="20" t="s">
        <v>33</v>
      </c>
      <c r="F77" s="20" t="s">
        <v>83</v>
      </c>
      <c r="G77" s="20" t="s">
        <v>39</v>
      </c>
      <c r="H77" s="20" t="s">
        <v>127</v>
      </c>
      <c r="I77" s="20" t="s">
        <v>88</v>
      </c>
      <c r="J77" s="20">
        <v>19</v>
      </c>
      <c r="K77" s="22">
        <v>4430</v>
      </c>
      <c r="L77" s="22">
        <v>84170</v>
      </c>
      <c r="M77" s="22">
        <v>48108.72</v>
      </c>
      <c r="N77" s="22">
        <v>36061.279999999999</v>
      </c>
      <c r="O77" s="23">
        <v>0.4284</v>
      </c>
      <c r="P77" s="20" t="s">
        <v>80</v>
      </c>
    </row>
    <row r="78" spans="1:16" x14ac:dyDescent="0.3">
      <c r="A78" s="16" t="s">
        <v>213</v>
      </c>
      <c r="B78" s="17">
        <v>45466</v>
      </c>
      <c r="C78" s="16" t="s">
        <v>125</v>
      </c>
      <c r="D78" s="16" t="s">
        <v>55</v>
      </c>
      <c r="E78" s="16" t="s">
        <v>30</v>
      </c>
      <c r="F78" s="16" t="s">
        <v>126</v>
      </c>
      <c r="G78" s="16" t="s">
        <v>40</v>
      </c>
      <c r="H78" s="16" t="s">
        <v>151</v>
      </c>
      <c r="I78" s="16" t="s">
        <v>131</v>
      </c>
      <c r="J78" s="16">
        <v>13</v>
      </c>
      <c r="K78" s="18">
        <v>1680</v>
      </c>
      <c r="L78" s="18">
        <v>21840</v>
      </c>
      <c r="M78" s="18">
        <v>17926.830000000002</v>
      </c>
      <c r="N78" s="18">
        <v>3913.17</v>
      </c>
      <c r="O78" s="19">
        <v>0.1792</v>
      </c>
      <c r="P78" s="16" t="s">
        <v>80</v>
      </c>
    </row>
    <row r="79" spans="1:16" x14ac:dyDescent="0.3">
      <c r="A79" s="20" t="s">
        <v>214</v>
      </c>
      <c r="B79" s="21">
        <v>45643</v>
      </c>
      <c r="C79" s="20" t="s">
        <v>175</v>
      </c>
      <c r="D79" s="20" t="s">
        <v>57</v>
      </c>
      <c r="E79" s="20" t="s">
        <v>29</v>
      </c>
      <c r="F79" s="20" t="s">
        <v>77</v>
      </c>
      <c r="G79" s="20" t="s">
        <v>39</v>
      </c>
      <c r="H79" s="20" t="s">
        <v>127</v>
      </c>
      <c r="I79" s="20" t="s">
        <v>117</v>
      </c>
      <c r="J79" s="20">
        <v>4</v>
      </c>
      <c r="K79" s="22">
        <v>4970</v>
      </c>
      <c r="L79" s="22">
        <v>19880</v>
      </c>
      <c r="M79" s="22">
        <v>10818.55</v>
      </c>
      <c r="N79" s="22">
        <v>9061.4500000000007</v>
      </c>
      <c r="O79" s="23">
        <v>0.45579999999999998</v>
      </c>
      <c r="P79" s="20" t="s">
        <v>80</v>
      </c>
    </row>
    <row r="80" spans="1:16" x14ac:dyDescent="0.3">
      <c r="A80" s="16" t="s">
        <v>215</v>
      </c>
      <c r="B80" s="17">
        <v>45597</v>
      </c>
      <c r="C80" s="16" t="s">
        <v>76</v>
      </c>
      <c r="D80" s="16" t="s">
        <v>57</v>
      </c>
      <c r="E80" s="16" t="s">
        <v>33</v>
      </c>
      <c r="F80" s="16" t="s">
        <v>99</v>
      </c>
      <c r="G80" s="16" t="s">
        <v>42</v>
      </c>
      <c r="H80" s="16" t="s">
        <v>187</v>
      </c>
      <c r="I80" s="16" t="s">
        <v>88</v>
      </c>
      <c r="J80" s="16">
        <v>10</v>
      </c>
      <c r="K80" s="18">
        <v>13700</v>
      </c>
      <c r="L80" s="18">
        <v>137000</v>
      </c>
      <c r="M80" s="18">
        <v>90965.72</v>
      </c>
      <c r="N80" s="18">
        <v>46034.28</v>
      </c>
      <c r="O80" s="19">
        <v>0.33600000000000002</v>
      </c>
      <c r="P80" s="16" t="s">
        <v>80</v>
      </c>
    </row>
    <row r="81" spans="1:16" x14ac:dyDescent="0.3">
      <c r="A81" s="20" t="s">
        <v>216</v>
      </c>
      <c r="B81" s="21">
        <v>45448</v>
      </c>
      <c r="C81" s="20" t="s">
        <v>125</v>
      </c>
      <c r="D81" s="20" t="s">
        <v>55</v>
      </c>
      <c r="E81" s="20" t="s">
        <v>33</v>
      </c>
      <c r="F81" s="20" t="s">
        <v>104</v>
      </c>
      <c r="G81" s="20" t="s">
        <v>38</v>
      </c>
      <c r="H81" s="20" t="s">
        <v>100</v>
      </c>
      <c r="I81" s="20" t="s">
        <v>85</v>
      </c>
      <c r="J81" s="20">
        <v>9</v>
      </c>
      <c r="K81" s="22">
        <v>51910</v>
      </c>
      <c r="L81" s="22">
        <v>467190</v>
      </c>
      <c r="M81" s="22">
        <v>356913.16</v>
      </c>
      <c r="N81" s="22">
        <v>110276.84</v>
      </c>
      <c r="O81" s="23">
        <v>0.23599999999999999</v>
      </c>
      <c r="P81" s="20" t="s">
        <v>80</v>
      </c>
    </row>
    <row r="82" spans="1:16" x14ac:dyDescent="0.3">
      <c r="A82" s="16" t="s">
        <v>217</v>
      </c>
      <c r="B82" s="17">
        <v>45380</v>
      </c>
      <c r="C82" s="16" t="s">
        <v>122</v>
      </c>
      <c r="D82" s="16" t="s">
        <v>53</v>
      </c>
      <c r="E82" s="16" t="s">
        <v>33</v>
      </c>
      <c r="F82" s="16" t="s">
        <v>99</v>
      </c>
      <c r="G82" s="16" t="s">
        <v>39</v>
      </c>
      <c r="H82" s="16" t="s">
        <v>137</v>
      </c>
      <c r="I82" s="16" t="s">
        <v>85</v>
      </c>
      <c r="J82" s="16">
        <v>20</v>
      </c>
      <c r="K82" s="18">
        <v>2530</v>
      </c>
      <c r="L82" s="18">
        <v>50600</v>
      </c>
      <c r="M82" s="18">
        <v>27982.240000000002</v>
      </c>
      <c r="N82" s="18">
        <v>22617.759999999998</v>
      </c>
      <c r="O82" s="19">
        <v>0.44700000000000001</v>
      </c>
      <c r="P82" s="16" t="s">
        <v>110</v>
      </c>
    </row>
    <row r="83" spans="1:16" x14ac:dyDescent="0.3">
      <c r="A83" s="20" t="s">
        <v>218</v>
      </c>
      <c r="B83" s="21">
        <v>45439</v>
      </c>
      <c r="C83" s="20" t="s">
        <v>13</v>
      </c>
      <c r="D83" s="20" t="s">
        <v>55</v>
      </c>
      <c r="E83" s="20" t="s">
        <v>31</v>
      </c>
      <c r="F83" s="20" t="s">
        <v>208</v>
      </c>
      <c r="G83" s="20" t="s">
        <v>41</v>
      </c>
      <c r="H83" s="20" t="s">
        <v>169</v>
      </c>
      <c r="I83" s="20" t="s">
        <v>93</v>
      </c>
      <c r="J83" s="20">
        <v>19</v>
      </c>
      <c r="K83" s="22">
        <v>46420</v>
      </c>
      <c r="L83" s="22">
        <v>881980</v>
      </c>
      <c r="M83" s="22">
        <v>559070.98</v>
      </c>
      <c r="N83" s="22">
        <v>322909.02</v>
      </c>
      <c r="O83" s="23">
        <v>0.36609999999999998</v>
      </c>
      <c r="P83" s="20" t="s">
        <v>80</v>
      </c>
    </row>
    <row r="84" spans="1:16" x14ac:dyDescent="0.3">
      <c r="A84" s="16" t="s">
        <v>219</v>
      </c>
      <c r="B84" s="17">
        <v>45509</v>
      </c>
      <c r="C84" s="16" t="s">
        <v>90</v>
      </c>
      <c r="D84" s="16" t="s">
        <v>56</v>
      </c>
      <c r="E84" s="16" t="s">
        <v>29</v>
      </c>
      <c r="F84" s="16" t="s">
        <v>150</v>
      </c>
      <c r="G84" s="16" t="s">
        <v>39</v>
      </c>
      <c r="H84" s="16" t="s">
        <v>92</v>
      </c>
      <c r="I84" s="16" t="s">
        <v>79</v>
      </c>
      <c r="J84" s="16">
        <v>3</v>
      </c>
      <c r="K84" s="18">
        <v>4220</v>
      </c>
      <c r="L84" s="18">
        <v>12660</v>
      </c>
      <c r="M84" s="18">
        <v>7520.5</v>
      </c>
      <c r="N84" s="18">
        <v>5139.5</v>
      </c>
      <c r="O84" s="19">
        <v>0.40600000000000003</v>
      </c>
      <c r="P84" s="16" t="s">
        <v>80</v>
      </c>
    </row>
    <row r="85" spans="1:16" x14ac:dyDescent="0.3">
      <c r="A85" s="20" t="s">
        <v>220</v>
      </c>
      <c r="B85" s="21">
        <v>45596</v>
      </c>
      <c r="C85" s="20" t="s">
        <v>107</v>
      </c>
      <c r="D85" s="20" t="s">
        <v>57</v>
      </c>
      <c r="E85" s="20" t="s">
        <v>33</v>
      </c>
      <c r="F85" s="20" t="s">
        <v>83</v>
      </c>
      <c r="G85" s="20" t="s">
        <v>41</v>
      </c>
      <c r="H85" s="20" t="s">
        <v>96</v>
      </c>
      <c r="I85" s="20" t="s">
        <v>85</v>
      </c>
      <c r="J85" s="20">
        <v>13</v>
      </c>
      <c r="K85" s="22">
        <v>35370</v>
      </c>
      <c r="L85" s="22">
        <v>459810</v>
      </c>
      <c r="M85" s="22">
        <v>278521.8</v>
      </c>
      <c r="N85" s="22">
        <v>181288.2</v>
      </c>
      <c r="O85" s="23">
        <v>0.39429999999999998</v>
      </c>
      <c r="P85" s="20" t="s">
        <v>80</v>
      </c>
    </row>
    <row r="86" spans="1:16" x14ac:dyDescent="0.3">
      <c r="A86" s="16" t="s">
        <v>221</v>
      </c>
      <c r="B86" s="17">
        <v>45544</v>
      </c>
      <c r="C86" s="16" t="s">
        <v>202</v>
      </c>
      <c r="D86" s="16" t="s">
        <v>56</v>
      </c>
      <c r="E86" s="16" t="s">
        <v>32</v>
      </c>
      <c r="F86" s="16" t="s">
        <v>145</v>
      </c>
      <c r="G86" s="16" t="s">
        <v>42</v>
      </c>
      <c r="H86" s="16" t="s">
        <v>187</v>
      </c>
      <c r="I86" s="16" t="s">
        <v>140</v>
      </c>
      <c r="J86" s="16">
        <v>20</v>
      </c>
      <c r="K86" s="18">
        <v>11230</v>
      </c>
      <c r="L86" s="18">
        <v>224600</v>
      </c>
      <c r="M86" s="18">
        <v>162826.74</v>
      </c>
      <c r="N86" s="18">
        <v>61773.26</v>
      </c>
      <c r="O86" s="19">
        <v>0.27500000000000002</v>
      </c>
      <c r="P86" s="16" t="s">
        <v>80</v>
      </c>
    </row>
    <row r="87" spans="1:16" x14ac:dyDescent="0.3">
      <c r="A87" s="20" t="s">
        <v>222</v>
      </c>
      <c r="B87" s="21">
        <v>45637</v>
      </c>
      <c r="C87" s="20" t="s">
        <v>175</v>
      </c>
      <c r="D87" s="20" t="s">
        <v>57</v>
      </c>
      <c r="E87" s="20" t="s">
        <v>33</v>
      </c>
      <c r="F87" s="20" t="s">
        <v>104</v>
      </c>
      <c r="G87" s="20" t="s">
        <v>38</v>
      </c>
      <c r="H87" s="20" t="s">
        <v>223</v>
      </c>
      <c r="I87" s="20" t="s">
        <v>88</v>
      </c>
      <c r="J87" s="20">
        <v>6</v>
      </c>
      <c r="K87" s="22">
        <v>8020</v>
      </c>
      <c r="L87" s="22">
        <v>48120</v>
      </c>
      <c r="M87" s="22">
        <v>37675.550000000003</v>
      </c>
      <c r="N87" s="22">
        <v>10444.450000000001</v>
      </c>
      <c r="O87" s="23">
        <v>0.21709999999999999</v>
      </c>
      <c r="P87" s="20" t="s">
        <v>80</v>
      </c>
    </row>
    <row r="88" spans="1:16" x14ac:dyDescent="0.3">
      <c r="A88" s="16" t="s">
        <v>224</v>
      </c>
      <c r="B88" s="17">
        <v>45434</v>
      </c>
      <c r="C88" s="16" t="s">
        <v>13</v>
      </c>
      <c r="D88" s="16" t="s">
        <v>55</v>
      </c>
      <c r="E88" s="16" t="s">
        <v>30</v>
      </c>
      <c r="F88" s="16" t="s">
        <v>108</v>
      </c>
      <c r="G88" s="16" t="s">
        <v>41</v>
      </c>
      <c r="H88" s="16" t="s">
        <v>163</v>
      </c>
      <c r="I88" s="16" t="s">
        <v>131</v>
      </c>
      <c r="J88" s="16">
        <v>14</v>
      </c>
      <c r="K88" s="18">
        <v>25090</v>
      </c>
      <c r="L88" s="18">
        <v>351260</v>
      </c>
      <c r="M88" s="18">
        <v>234174.21</v>
      </c>
      <c r="N88" s="18">
        <v>117085.79</v>
      </c>
      <c r="O88" s="19">
        <v>0.33329999999999999</v>
      </c>
      <c r="P88" s="16" t="s">
        <v>80</v>
      </c>
    </row>
    <row r="89" spans="1:16" x14ac:dyDescent="0.3">
      <c r="A89" s="20" t="s">
        <v>225</v>
      </c>
      <c r="B89" s="21">
        <v>45374</v>
      </c>
      <c r="C89" s="20" t="s">
        <v>122</v>
      </c>
      <c r="D89" s="20" t="s">
        <v>53</v>
      </c>
      <c r="E89" s="20" t="s">
        <v>31</v>
      </c>
      <c r="F89" s="20" t="s">
        <v>91</v>
      </c>
      <c r="G89" s="20" t="s">
        <v>41</v>
      </c>
      <c r="H89" s="20" t="s">
        <v>96</v>
      </c>
      <c r="I89" s="20" t="s">
        <v>112</v>
      </c>
      <c r="J89" s="20">
        <v>18</v>
      </c>
      <c r="K89" s="22">
        <v>41240</v>
      </c>
      <c r="L89" s="22">
        <v>742320</v>
      </c>
      <c r="M89" s="22">
        <v>516899.9</v>
      </c>
      <c r="N89" s="22">
        <v>225420.1</v>
      </c>
      <c r="O89" s="23">
        <v>0.30370000000000003</v>
      </c>
      <c r="P89" s="20" t="s">
        <v>80</v>
      </c>
    </row>
    <row r="90" spans="1:16" x14ac:dyDescent="0.3">
      <c r="A90" s="16" t="s">
        <v>226</v>
      </c>
      <c r="B90" s="17">
        <v>45421</v>
      </c>
      <c r="C90" s="16" t="s">
        <v>13</v>
      </c>
      <c r="D90" s="16" t="s">
        <v>55</v>
      </c>
      <c r="E90" s="16" t="s">
        <v>31</v>
      </c>
      <c r="F90" s="16" t="s">
        <v>95</v>
      </c>
      <c r="G90" s="16" t="s">
        <v>41</v>
      </c>
      <c r="H90" s="16" t="s">
        <v>178</v>
      </c>
      <c r="I90" s="16" t="s">
        <v>93</v>
      </c>
      <c r="J90" s="16">
        <v>2</v>
      </c>
      <c r="K90" s="18">
        <v>24710</v>
      </c>
      <c r="L90" s="18">
        <v>49420</v>
      </c>
      <c r="M90" s="18">
        <v>33666.97</v>
      </c>
      <c r="N90" s="18">
        <v>15753.03</v>
      </c>
      <c r="O90" s="19">
        <v>0.31879999999999997</v>
      </c>
      <c r="P90" s="16" t="s">
        <v>80</v>
      </c>
    </row>
    <row r="91" spans="1:16" x14ac:dyDescent="0.3">
      <c r="A91" s="20" t="s">
        <v>227</v>
      </c>
      <c r="B91" s="21">
        <v>45547</v>
      </c>
      <c r="C91" s="20" t="s">
        <v>202</v>
      </c>
      <c r="D91" s="20" t="s">
        <v>56</v>
      </c>
      <c r="E91" s="20" t="s">
        <v>32</v>
      </c>
      <c r="F91" s="20" t="s">
        <v>145</v>
      </c>
      <c r="G91" s="20" t="s">
        <v>39</v>
      </c>
      <c r="H91" s="20" t="s">
        <v>87</v>
      </c>
      <c r="I91" s="20" t="s">
        <v>146</v>
      </c>
      <c r="J91" s="20">
        <v>10</v>
      </c>
      <c r="K91" s="22">
        <v>1090</v>
      </c>
      <c r="L91" s="22">
        <v>10900</v>
      </c>
      <c r="M91" s="22">
        <v>6062.45</v>
      </c>
      <c r="N91" s="22">
        <v>4837.55</v>
      </c>
      <c r="O91" s="23">
        <v>0.44379999999999997</v>
      </c>
      <c r="P91" s="20" t="s">
        <v>80</v>
      </c>
    </row>
    <row r="92" spans="1:16" x14ac:dyDescent="0.3">
      <c r="A92" s="16" t="s">
        <v>228</v>
      </c>
      <c r="B92" s="17">
        <v>45354</v>
      </c>
      <c r="C92" s="16" t="s">
        <v>122</v>
      </c>
      <c r="D92" s="16" t="s">
        <v>53</v>
      </c>
      <c r="E92" s="16" t="s">
        <v>29</v>
      </c>
      <c r="F92" s="16" t="s">
        <v>150</v>
      </c>
      <c r="G92" s="16" t="s">
        <v>42</v>
      </c>
      <c r="H92" s="16" t="s">
        <v>148</v>
      </c>
      <c r="I92" s="16" t="s">
        <v>79</v>
      </c>
      <c r="J92" s="16">
        <v>1</v>
      </c>
      <c r="K92" s="18">
        <v>5210</v>
      </c>
      <c r="L92" s="18">
        <v>5210</v>
      </c>
      <c r="M92" s="18">
        <v>3619.78</v>
      </c>
      <c r="N92" s="18">
        <v>1590.22</v>
      </c>
      <c r="O92" s="19">
        <v>0.30520000000000003</v>
      </c>
      <c r="P92" s="16" t="s">
        <v>80</v>
      </c>
    </row>
    <row r="93" spans="1:16" x14ac:dyDescent="0.3">
      <c r="A93" s="20" t="s">
        <v>229</v>
      </c>
      <c r="B93" s="21">
        <v>45350</v>
      </c>
      <c r="C93" s="20" t="s">
        <v>82</v>
      </c>
      <c r="D93" s="20" t="s">
        <v>53</v>
      </c>
      <c r="E93" s="20" t="s">
        <v>32</v>
      </c>
      <c r="F93" s="20" t="s">
        <v>145</v>
      </c>
      <c r="G93" s="20" t="s">
        <v>39</v>
      </c>
      <c r="H93" s="20" t="s">
        <v>92</v>
      </c>
      <c r="I93" s="20" t="s">
        <v>146</v>
      </c>
      <c r="J93" s="20">
        <v>9</v>
      </c>
      <c r="K93" s="22">
        <v>2790</v>
      </c>
      <c r="L93" s="22">
        <v>25110</v>
      </c>
      <c r="M93" s="22">
        <v>14022.7</v>
      </c>
      <c r="N93" s="22">
        <v>11087.3</v>
      </c>
      <c r="O93" s="23">
        <v>0.4415</v>
      </c>
      <c r="P93" s="20" t="s">
        <v>80</v>
      </c>
    </row>
    <row r="94" spans="1:16" x14ac:dyDescent="0.3">
      <c r="A94" s="16" t="s">
        <v>230</v>
      </c>
      <c r="B94" s="17">
        <v>45533</v>
      </c>
      <c r="C94" s="16" t="s">
        <v>90</v>
      </c>
      <c r="D94" s="16" t="s">
        <v>56</v>
      </c>
      <c r="E94" s="16" t="s">
        <v>30</v>
      </c>
      <c r="F94" s="16" t="s">
        <v>158</v>
      </c>
      <c r="G94" s="16" t="s">
        <v>42</v>
      </c>
      <c r="H94" s="16" t="s">
        <v>187</v>
      </c>
      <c r="I94" s="16" t="s">
        <v>109</v>
      </c>
      <c r="J94" s="16">
        <v>20</v>
      </c>
      <c r="K94" s="18">
        <v>3510</v>
      </c>
      <c r="L94" s="18">
        <v>70200</v>
      </c>
      <c r="M94" s="18">
        <v>49082.15</v>
      </c>
      <c r="N94" s="18">
        <v>21117.85</v>
      </c>
      <c r="O94" s="19">
        <v>0.30080000000000001</v>
      </c>
      <c r="P94" s="16" t="s">
        <v>80</v>
      </c>
    </row>
    <row r="95" spans="1:16" x14ac:dyDescent="0.3">
      <c r="A95" s="20" t="s">
        <v>231</v>
      </c>
      <c r="B95" s="21">
        <v>45327</v>
      </c>
      <c r="C95" s="20" t="s">
        <v>82</v>
      </c>
      <c r="D95" s="20" t="s">
        <v>53</v>
      </c>
      <c r="E95" s="20" t="s">
        <v>31</v>
      </c>
      <c r="F95" s="20" t="s">
        <v>91</v>
      </c>
      <c r="G95" s="20" t="s">
        <v>40</v>
      </c>
      <c r="H95" s="20" t="s">
        <v>151</v>
      </c>
      <c r="I95" s="20" t="s">
        <v>112</v>
      </c>
      <c r="J95" s="20">
        <v>10</v>
      </c>
      <c r="K95" s="22">
        <v>710</v>
      </c>
      <c r="L95" s="22">
        <v>7100</v>
      </c>
      <c r="M95" s="22">
        <v>5582.39</v>
      </c>
      <c r="N95" s="22">
        <v>1517.61</v>
      </c>
      <c r="O95" s="23">
        <v>0.2137</v>
      </c>
      <c r="P95" s="20" t="s">
        <v>80</v>
      </c>
    </row>
    <row r="96" spans="1:16" x14ac:dyDescent="0.3">
      <c r="A96" s="16" t="s">
        <v>232</v>
      </c>
      <c r="B96" s="17">
        <v>45629</v>
      </c>
      <c r="C96" s="16" t="s">
        <v>175</v>
      </c>
      <c r="D96" s="16" t="s">
        <v>57</v>
      </c>
      <c r="E96" s="16" t="s">
        <v>32</v>
      </c>
      <c r="F96" s="16" t="s">
        <v>145</v>
      </c>
      <c r="G96" s="16" t="s">
        <v>41</v>
      </c>
      <c r="H96" s="16" t="s">
        <v>129</v>
      </c>
      <c r="I96" s="16" t="s">
        <v>146</v>
      </c>
      <c r="J96" s="16">
        <v>18</v>
      </c>
      <c r="K96" s="18">
        <v>18620</v>
      </c>
      <c r="L96" s="18">
        <v>335160</v>
      </c>
      <c r="M96" s="18">
        <v>221969.43</v>
      </c>
      <c r="N96" s="18">
        <v>113190.57</v>
      </c>
      <c r="O96" s="19">
        <v>0.3377</v>
      </c>
      <c r="P96" s="16" t="s">
        <v>80</v>
      </c>
    </row>
    <row r="97" spans="1:16" x14ac:dyDescent="0.3">
      <c r="A97" s="20" t="s">
        <v>233</v>
      </c>
      <c r="B97" s="21">
        <v>45388</v>
      </c>
      <c r="C97" s="20" t="s">
        <v>142</v>
      </c>
      <c r="D97" s="20" t="s">
        <v>55</v>
      </c>
      <c r="E97" s="20" t="s">
        <v>30</v>
      </c>
      <c r="F97" s="20" t="s">
        <v>108</v>
      </c>
      <c r="G97" s="20" t="s">
        <v>41</v>
      </c>
      <c r="H97" s="20" t="s">
        <v>96</v>
      </c>
      <c r="I97" s="20" t="s">
        <v>109</v>
      </c>
      <c r="J97" s="20">
        <v>16</v>
      </c>
      <c r="K97" s="22">
        <v>5050</v>
      </c>
      <c r="L97" s="22">
        <v>80800</v>
      </c>
      <c r="M97" s="22">
        <v>50861.760000000002</v>
      </c>
      <c r="N97" s="22">
        <v>29938.240000000002</v>
      </c>
      <c r="O97" s="23">
        <v>0.3705</v>
      </c>
      <c r="P97" s="20" t="s">
        <v>80</v>
      </c>
    </row>
    <row r="98" spans="1:16" x14ac:dyDescent="0.3">
      <c r="A98" s="16" t="s">
        <v>234</v>
      </c>
      <c r="B98" s="17">
        <v>45489</v>
      </c>
      <c r="C98" s="16" t="s">
        <v>98</v>
      </c>
      <c r="D98" s="16" t="s">
        <v>56</v>
      </c>
      <c r="E98" s="16" t="s">
        <v>30</v>
      </c>
      <c r="F98" s="16" t="s">
        <v>158</v>
      </c>
      <c r="G98" s="16" t="s">
        <v>38</v>
      </c>
      <c r="H98" s="16" t="s">
        <v>223</v>
      </c>
      <c r="I98" s="16" t="s">
        <v>109</v>
      </c>
      <c r="J98" s="16">
        <v>11</v>
      </c>
      <c r="K98" s="18">
        <v>77400</v>
      </c>
      <c r="L98" s="18">
        <v>851400</v>
      </c>
      <c r="M98" s="18">
        <v>632615.72</v>
      </c>
      <c r="N98" s="18">
        <v>218784.28</v>
      </c>
      <c r="O98" s="19">
        <v>0.25700000000000001</v>
      </c>
      <c r="P98" s="16" t="s">
        <v>80</v>
      </c>
    </row>
    <row r="99" spans="1:16" x14ac:dyDescent="0.3">
      <c r="A99" s="20" t="s">
        <v>235</v>
      </c>
      <c r="B99" s="21">
        <v>45517</v>
      </c>
      <c r="C99" s="20" t="s">
        <v>90</v>
      </c>
      <c r="D99" s="20" t="s">
        <v>56</v>
      </c>
      <c r="E99" s="20" t="s">
        <v>29</v>
      </c>
      <c r="F99" s="20" t="s">
        <v>150</v>
      </c>
      <c r="G99" s="20" t="s">
        <v>41</v>
      </c>
      <c r="H99" s="20" t="s">
        <v>169</v>
      </c>
      <c r="I99" s="20" t="s">
        <v>79</v>
      </c>
      <c r="J99" s="20">
        <v>5</v>
      </c>
      <c r="K99" s="22">
        <v>22270</v>
      </c>
      <c r="L99" s="22">
        <v>111350</v>
      </c>
      <c r="M99" s="22">
        <v>77111.789999999994</v>
      </c>
      <c r="N99" s="22">
        <v>34238.21</v>
      </c>
      <c r="O99" s="23">
        <v>0.3075</v>
      </c>
      <c r="P99" s="20" t="s">
        <v>80</v>
      </c>
    </row>
    <row r="100" spans="1:16" x14ac:dyDescent="0.3">
      <c r="A100" s="16" t="s">
        <v>236</v>
      </c>
      <c r="B100" s="17">
        <v>45427</v>
      </c>
      <c r="C100" s="16" t="s">
        <v>13</v>
      </c>
      <c r="D100" s="16" t="s">
        <v>55</v>
      </c>
      <c r="E100" s="16" t="s">
        <v>31</v>
      </c>
      <c r="F100" s="16" t="s">
        <v>208</v>
      </c>
      <c r="G100" s="16" t="s">
        <v>41</v>
      </c>
      <c r="H100" s="16" t="s">
        <v>129</v>
      </c>
      <c r="I100" s="16" t="s">
        <v>93</v>
      </c>
      <c r="J100" s="16">
        <v>18</v>
      </c>
      <c r="K100" s="18">
        <v>43060</v>
      </c>
      <c r="L100" s="18">
        <v>775080</v>
      </c>
      <c r="M100" s="18">
        <v>513102.23</v>
      </c>
      <c r="N100" s="18">
        <v>261977.77</v>
      </c>
      <c r="O100" s="19">
        <v>0.33800000000000002</v>
      </c>
      <c r="P100" s="16" t="s">
        <v>80</v>
      </c>
    </row>
    <row r="101" spans="1:16" x14ac:dyDescent="0.3">
      <c r="A101" s="20" t="s">
        <v>237</v>
      </c>
      <c r="B101" s="21">
        <v>45541</v>
      </c>
      <c r="C101" s="20" t="s">
        <v>202</v>
      </c>
      <c r="D101" s="20" t="s">
        <v>56</v>
      </c>
      <c r="E101" s="20" t="s">
        <v>33</v>
      </c>
      <c r="F101" s="20" t="s">
        <v>99</v>
      </c>
      <c r="G101" s="20" t="s">
        <v>42</v>
      </c>
      <c r="H101" s="20" t="s">
        <v>148</v>
      </c>
      <c r="I101" s="20" t="s">
        <v>85</v>
      </c>
      <c r="J101" s="20">
        <v>10</v>
      </c>
      <c r="K101" s="22">
        <v>9760</v>
      </c>
      <c r="L101" s="22">
        <v>97600</v>
      </c>
      <c r="M101" s="22">
        <v>63465.120000000003</v>
      </c>
      <c r="N101" s="22">
        <v>34134.879999999997</v>
      </c>
      <c r="O101" s="23">
        <v>0.34970000000000001</v>
      </c>
      <c r="P101" s="20" t="s">
        <v>80</v>
      </c>
    </row>
    <row r="102" spans="1:16" x14ac:dyDescent="0.3">
      <c r="A102" s="16" t="s">
        <v>238</v>
      </c>
      <c r="B102" s="17">
        <v>45514</v>
      </c>
      <c r="C102" s="16" t="s">
        <v>90</v>
      </c>
      <c r="D102" s="16" t="s">
        <v>56</v>
      </c>
      <c r="E102" s="16" t="s">
        <v>29</v>
      </c>
      <c r="F102" s="16" t="s">
        <v>150</v>
      </c>
      <c r="G102" s="16" t="s">
        <v>38</v>
      </c>
      <c r="H102" s="16" t="s">
        <v>100</v>
      </c>
      <c r="I102" s="16" t="s">
        <v>117</v>
      </c>
      <c r="J102" s="16">
        <v>1</v>
      </c>
      <c r="K102" s="18">
        <v>57050</v>
      </c>
      <c r="L102" s="18">
        <v>57050</v>
      </c>
      <c r="M102" s="18">
        <v>47089.120000000003</v>
      </c>
      <c r="N102" s="18">
        <v>9960.8799999999992</v>
      </c>
      <c r="O102" s="19">
        <v>0.17460000000000001</v>
      </c>
      <c r="P102" s="16" t="s">
        <v>80</v>
      </c>
    </row>
    <row r="103" spans="1:16" x14ac:dyDescent="0.3">
      <c r="A103" s="20" t="s">
        <v>239</v>
      </c>
      <c r="B103" s="21">
        <v>45442</v>
      </c>
      <c r="C103" s="20" t="s">
        <v>13</v>
      </c>
      <c r="D103" s="20" t="s">
        <v>55</v>
      </c>
      <c r="E103" s="20" t="s">
        <v>31</v>
      </c>
      <c r="F103" s="20" t="s">
        <v>91</v>
      </c>
      <c r="G103" s="20" t="s">
        <v>41</v>
      </c>
      <c r="H103" s="20" t="s">
        <v>169</v>
      </c>
      <c r="I103" s="20" t="s">
        <v>93</v>
      </c>
      <c r="J103" s="20">
        <v>19</v>
      </c>
      <c r="K103" s="22">
        <v>27960</v>
      </c>
      <c r="L103" s="22">
        <v>531240</v>
      </c>
      <c r="M103" s="22">
        <v>335648.04</v>
      </c>
      <c r="N103" s="22">
        <v>195591.96</v>
      </c>
      <c r="O103" s="23">
        <v>0.36820000000000003</v>
      </c>
      <c r="P103" s="20" t="s">
        <v>80</v>
      </c>
    </row>
    <row r="104" spans="1:16" x14ac:dyDescent="0.3">
      <c r="A104" s="16" t="s">
        <v>240</v>
      </c>
      <c r="B104" s="17">
        <v>45381</v>
      </c>
      <c r="C104" s="16" t="s">
        <v>122</v>
      </c>
      <c r="D104" s="16" t="s">
        <v>53</v>
      </c>
      <c r="E104" s="16" t="s">
        <v>29</v>
      </c>
      <c r="F104" s="16" t="s">
        <v>150</v>
      </c>
      <c r="G104" s="16" t="s">
        <v>41</v>
      </c>
      <c r="H104" s="16" t="s">
        <v>96</v>
      </c>
      <c r="I104" s="16" t="s">
        <v>79</v>
      </c>
      <c r="J104" s="16">
        <v>5</v>
      </c>
      <c r="K104" s="18">
        <v>45900</v>
      </c>
      <c r="L104" s="18">
        <v>229500</v>
      </c>
      <c r="M104" s="18">
        <v>155321.28</v>
      </c>
      <c r="N104" s="18">
        <v>74178.720000000001</v>
      </c>
      <c r="O104" s="19">
        <v>0.32319999999999999</v>
      </c>
      <c r="P104" s="16" t="s">
        <v>80</v>
      </c>
    </row>
    <row r="105" spans="1:16" x14ac:dyDescent="0.3">
      <c r="A105" s="20" t="s">
        <v>241</v>
      </c>
      <c r="B105" s="21">
        <v>45527</v>
      </c>
      <c r="C105" s="20" t="s">
        <v>90</v>
      </c>
      <c r="D105" s="20" t="s">
        <v>56</v>
      </c>
      <c r="E105" s="20" t="s">
        <v>31</v>
      </c>
      <c r="F105" s="20" t="s">
        <v>208</v>
      </c>
      <c r="G105" s="20" t="s">
        <v>38</v>
      </c>
      <c r="H105" s="20" t="s">
        <v>119</v>
      </c>
      <c r="I105" s="20" t="s">
        <v>112</v>
      </c>
      <c r="J105" s="20">
        <v>6</v>
      </c>
      <c r="K105" s="22">
        <v>55820</v>
      </c>
      <c r="L105" s="22">
        <v>334920</v>
      </c>
      <c r="M105" s="22">
        <v>275509.82</v>
      </c>
      <c r="N105" s="22">
        <v>59410.18</v>
      </c>
      <c r="O105" s="23">
        <v>0.1774</v>
      </c>
      <c r="P105" s="20" t="s">
        <v>80</v>
      </c>
    </row>
    <row r="106" spans="1:16" x14ac:dyDescent="0.3">
      <c r="A106" s="16" t="s">
        <v>242</v>
      </c>
      <c r="B106" s="17">
        <v>45592</v>
      </c>
      <c r="C106" s="16" t="s">
        <v>107</v>
      </c>
      <c r="D106" s="16" t="s">
        <v>57</v>
      </c>
      <c r="E106" s="16" t="s">
        <v>31</v>
      </c>
      <c r="F106" s="16" t="s">
        <v>208</v>
      </c>
      <c r="G106" s="16" t="s">
        <v>41</v>
      </c>
      <c r="H106" s="16" t="s">
        <v>96</v>
      </c>
      <c r="I106" s="16" t="s">
        <v>112</v>
      </c>
      <c r="J106" s="16">
        <v>7</v>
      </c>
      <c r="K106" s="18">
        <v>42730</v>
      </c>
      <c r="L106" s="18">
        <v>299110</v>
      </c>
      <c r="M106" s="18">
        <v>179484.74</v>
      </c>
      <c r="N106" s="18">
        <v>119625.26</v>
      </c>
      <c r="O106" s="19">
        <v>0.39989999999999998</v>
      </c>
      <c r="P106" s="16" t="s">
        <v>80</v>
      </c>
    </row>
    <row r="107" spans="1:16" x14ac:dyDescent="0.3">
      <c r="A107" s="20" t="s">
        <v>243</v>
      </c>
      <c r="B107" s="21">
        <v>45346</v>
      </c>
      <c r="C107" s="20" t="s">
        <v>82</v>
      </c>
      <c r="D107" s="20" t="s">
        <v>53</v>
      </c>
      <c r="E107" s="20" t="s">
        <v>30</v>
      </c>
      <c r="F107" s="20" t="s">
        <v>158</v>
      </c>
      <c r="G107" s="20" t="s">
        <v>42</v>
      </c>
      <c r="H107" s="20" t="s">
        <v>133</v>
      </c>
      <c r="I107" s="20" t="s">
        <v>131</v>
      </c>
      <c r="J107" s="20">
        <v>10</v>
      </c>
      <c r="K107" s="22">
        <v>5000</v>
      </c>
      <c r="L107" s="22">
        <v>50000</v>
      </c>
      <c r="M107" s="22">
        <v>37390.300000000003</v>
      </c>
      <c r="N107" s="22">
        <v>12609.7</v>
      </c>
      <c r="O107" s="23">
        <v>0.25219999999999998</v>
      </c>
      <c r="P107" s="20" t="s">
        <v>80</v>
      </c>
    </row>
    <row r="108" spans="1:16" x14ac:dyDescent="0.3">
      <c r="A108" s="16" t="s">
        <v>244</v>
      </c>
      <c r="B108" s="17">
        <v>45494</v>
      </c>
      <c r="C108" s="16" t="s">
        <v>98</v>
      </c>
      <c r="D108" s="16" t="s">
        <v>56</v>
      </c>
      <c r="E108" s="16" t="s">
        <v>31</v>
      </c>
      <c r="F108" s="16" t="s">
        <v>95</v>
      </c>
      <c r="G108" s="16" t="s">
        <v>42</v>
      </c>
      <c r="H108" s="16" t="s">
        <v>133</v>
      </c>
      <c r="I108" s="16" t="s">
        <v>93</v>
      </c>
      <c r="J108" s="16">
        <v>10</v>
      </c>
      <c r="K108" s="18">
        <v>11380</v>
      </c>
      <c r="L108" s="18">
        <v>113800</v>
      </c>
      <c r="M108" s="18">
        <v>76522.070000000007</v>
      </c>
      <c r="N108" s="18">
        <v>37277.93</v>
      </c>
      <c r="O108" s="19">
        <v>0.3276</v>
      </c>
      <c r="P108" s="16" t="s">
        <v>80</v>
      </c>
    </row>
    <row r="109" spans="1:16" x14ac:dyDescent="0.3">
      <c r="A109" s="20" t="s">
        <v>245</v>
      </c>
      <c r="B109" s="21">
        <v>45472</v>
      </c>
      <c r="C109" s="20" t="s">
        <v>125</v>
      </c>
      <c r="D109" s="20" t="s">
        <v>55</v>
      </c>
      <c r="E109" s="20" t="s">
        <v>30</v>
      </c>
      <c r="F109" s="20" t="s">
        <v>108</v>
      </c>
      <c r="G109" s="20" t="s">
        <v>39</v>
      </c>
      <c r="H109" s="20" t="s">
        <v>105</v>
      </c>
      <c r="I109" s="20" t="s">
        <v>131</v>
      </c>
      <c r="J109" s="20">
        <v>2</v>
      </c>
      <c r="K109" s="22">
        <v>3330</v>
      </c>
      <c r="L109" s="22">
        <v>6660</v>
      </c>
      <c r="M109" s="22">
        <v>3790.25</v>
      </c>
      <c r="N109" s="22">
        <v>2869.75</v>
      </c>
      <c r="O109" s="23">
        <v>0.43090000000000001</v>
      </c>
      <c r="P109" s="20" t="s">
        <v>80</v>
      </c>
    </row>
    <row r="110" spans="1:16" x14ac:dyDescent="0.3">
      <c r="A110" s="16" t="s">
        <v>246</v>
      </c>
      <c r="B110" s="17">
        <v>45588</v>
      </c>
      <c r="C110" s="16" t="s">
        <v>107</v>
      </c>
      <c r="D110" s="16" t="s">
        <v>57</v>
      </c>
      <c r="E110" s="16" t="s">
        <v>31</v>
      </c>
      <c r="F110" s="16" t="s">
        <v>208</v>
      </c>
      <c r="G110" s="16" t="s">
        <v>39</v>
      </c>
      <c r="H110" s="16" t="s">
        <v>92</v>
      </c>
      <c r="I110" s="16" t="s">
        <v>93</v>
      </c>
      <c r="J110" s="16">
        <v>14</v>
      </c>
      <c r="K110" s="18">
        <v>1970</v>
      </c>
      <c r="L110" s="18">
        <v>27580</v>
      </c>
      <c r="M110" s="18">
        <v>16063.58</v>
      </c>
      <c r="N110" s="18">
        <v>11516.42</v>
      </c>
      <c r="O110" s="19">
        <v>0.41760000000000003</v>
      </c>
      <c r="P110" s="16" t="s">
        <v>80</v>
      </c>
    </row>
    <row r="111" spans="1:16" x14ac:dyDescent="0.3">
      <c r="A111" s="20" t="s">
        <v>247</v>
      </c>
      <c r="B111" s="21">
        <v>45568</v>
      </c>
      <c r="C111" s="20" t="s">
        <v>107</v>
      </c>
      <c r="D111" s="20" t="s">
        <v>57</v>
      </c>
      <c r="E111" s="20" t="s">
        <v>31</v>
      </c>
      <c r="F111" s="20" t="s">
        <v>208</v>
      </c>
      <c r="G111" s="20" t="s">
        <v>42</v>
      </c>
      <c r="H111" s="20" t="s">
        <v>148</v>
      </c>
      <c r="I111" s="20" t="s">
        <v>112</v>
      </c>
      <c r="J111" s="20">
        <v>16</v>
      </c>
      <c r="K111" s="22">
        <v>4450</v>
      </c>
      <c r="L111" s="22">
        <v>71200</v>
      </c>
      <c r="M111" s="22">
        <v>46512.23</v>
      </c>
      <c r="N111" s="22">
        <v>24687.77</v>
      </c>
      <c r="O111" s="23">
        <v>0.34670000000000001</v>
      </c>
      <c r="P111" s="20" t="s">
        <v>80</v>
      </c>
    </row>
    <row r="112" spans="1:16" x14ac:dyDescent="0.3">
      <c r="A112" s="16" t="s">
        <v>248</v>
      </c>
      <c r="B112" s="17">
        <v>45465</v>
      </c>
      <c r="C112" s="16" t="s">
        <v>125</v>
      </c>
      <c r="D112" s="16" t="s">
        <v>55</v>
      </c>
      <c r="E112" s="16" t="s">
        <v>29</v>
      </c>
      <c r="F112" s="16" t="s">
        <v>135</v>
      </c>
      <c r="G112" s="16" t="s">
        <v>38</v>
      </c>
      <c r="H112" s="16" t="s">
        <v>100</v>
      </c>
      <c r="I112" s="16" t="s">
        <v>79</v>
      </c>
      <c r="J112" s="16">
        <v>13</v>
      </c>
      <c r="K112" s="18">
        <v>69510</v>
      </c>
      <c r="L112" s="18">
        <v>903630</v>
      </c>
      <c r="M112" s="18">
        <v>662607.5</v>
      </c>
      <c r="N112" s="18">
        <v>241022.5</v>
      </c>
      <c r="O112" s="19">
        <v>0.26669999999999999</v>
      </c>
      <c r="P112" s="16" t="s">
        <v>80</v>
      </c>
    </row>
    <row r="113" spans="1:16" x14ac:dyDescent="0.3">
      <c r="A113" s="20" t="s">
        <v>249</v>
      </c>
      <c r="B113" s="21">
        <v>45479</v>
      </c>
      <c r="C113" s="20" t="s">
        <v>98</v>
      </c>
      <c r="D113" s="20" t="s">
        <v>56</v>
      </c>
      <c r="E113" s="20" t="s">
        <v>29</v>
      </c>
      <c r="F113" s="20" t="s">
        <v>135</v>
      </c>
      <c r="G113" s="20" t="s">
        <v>38</v>
      </c>
      <c r="H113" s="20" t="s">
        <v>223</v>
      </c>
      <c r="I113" s="20" t="s">
        <v>117</v>
      </c>
      <c r="J113" s="20">
        <v>12</v>
      </c>
      <c r="K113" s="22">
        <v>14270</v>
      </c>
      <c r="L113" s="22">
        <v>171240</v>
      </c>
      <c r="M113" s="22">
        <v>130607.69</v>
      </c>
      <c r="N113" s="22">
        <v>40632.31</v>
      </c>
      <c r="O113" s="23">
        <v>0.23730000000000001</v>
      </c>
      <c r="P113" s="20" t="s">
        <v>80</v>
      </c>
    </row>
    <row r="114" spans="1:16" x14ac:dyDescent="0.3">
      <c r="A114" s="16" t="s">
        <v>250</v>
      </c>
      <c r="B114" s="17">
        <v>45591</v>
      </c>
      <c r="C114" s="16" t="s">
        <v>107</v>
      </c>
      <c r="D114" s="16" t="s">
        <v>57</v>
      </c>
      <c r="E114" s="16" t="s">
        <v>32</v>
      </c>
      <c r="F114" s="16" t="s">
        <v>139</v>
      </c>
      <c r="G114" s="16" t="s">
        <v>40</v>
      </c>
      <c r="H114" s="16" t="s">
        <v>78</v>
      </c>
      <c r="I114" s="16" t="s">
        <v>140</v>
      </c>
      <c r="J114" s="16">
        <v>20</v>
      </c>
      <c r="K114" s="18">
        <v>1050</v>
      </c>
      <c r="L114" s="18">
        <v>21000</v>
      </c>
      <c r="M114" s="18">
        <v>16413.11</v>
      </c>
      <c r="N114" s="18">
        <v>4586.8900000000003</v>
      </c>
      <c r="O114" s="19">
        <v>0.21840000000000001</v>
      </c>
      <c r="P114" s="16" t="s">
        <v>80</v>
      </c>
    </row>
    <row r="115" spans="1:16" x14ac:dyDescent="0.3">
      <c r="A115" s="20" t="s">
        <v>251</v>
      </c>
      <c r="B115" s="21">
        <v>45604</v>
      </c>
      <c r="C115" s="20" t="s">
        <v>76</v>
      </c>
      <c r="D115" s="20" t="s">
        <v>57</v>
      </c>
      <c r="E115" s="20" t="s">
        <v>30</v>
      </c>
      <c r="F115" s="20" t="s">
        <v>108</v>
      </c>
      <c r="G115" s="20" t="s">
        <v>38</v>
      </c>
      <c r="H115" s="20" t="s">
        <v>119</v>
      </c>
      <c r="I115" s="20" t="s">
        <v>131</v>
      </c>
      <c r="J115" s="20">
        <v>4</v>
      </c>
      <c r="K115" s="22">
        <v>53690</v>
      </c>
      <c r="L115" s="22">
        <v>214760</v>
      </c>
      <c r="M115" s="22">
        <v>175248.95</v>
      </c>
      <c r="N115" s="22">
        <v>39511.050000000003</v>
      </c>
      <c r="O115" s="23">
        <v>0.184</v>
      </c>
      <c r="P115" s="20" t="s">
        <v>80</v>
      </c>
    </row>
    <row r="116" spans="1:16" x14ac:dyDescent="0.3">
      <c r="A116" s="16" t="s">
        <v>252</v>
      </c>
      <c r="B116" s="17">
        <v>45447</v>
      </c>
      <c r="C116" s="16" t="s">
        <v>125</v>
      </c>
      <c r="D116" s="16" t="s">
        <v>55</v>
      </c>
      <c r="E116" s="16" t="s">
        <v>32</v>
      </c>
      <c r="F116" s="16" t="s">
        <v>145</v>
      </c>
      <c r="G116" s="16" t="s">
        <v>38</v>
      </c>
      <c r="H116" s="16" t="s">
        <v>223</v>
      </c>
      <c r="I116" s="16" t="s">
        <v>140</v>
      </c>
      <c r="J116" s="16">
        <v>15</v>
      </c>
      <c r="K116" s="18">
        <v>15170</v>
      </c>
      <c r="L116" s="18">
        <v>227550</v>
      </c>
      <c r="M116" s="18">
        <v>180424.13</v>
      </c>
      <c r="N116" s="18">
        <v>47125.87</v>
      </c>
      <c r="O116" s="19">
        <v>0.20710000000000001</v>
      </c>
      <c r="P116" s="16" t="s">
        <v>80</v>
      </c>
    </row>
    <row r="117" spans="1:16" x14ac:dyDescent="0.3">
      <c r="A117" s="20" t="s">
        <v>253</v>
      </c>
      <c r="B117" s="21">
        <v>45648</v>
      </c>
      <c r="C117" s="20" t="s">
        <v>175</v>
      </c>
      <c r="D117" s="20" t="s">
        <v>57</v>
      </c>
      <c r="E117" s="20" t="s">
        <v>33</v>
      </c>
      <c r="F117" s="20" t="s">
        <v>83</v>
      </c>
      <c r="G117" s="20" t="s">
        <v>42</v>
      </c>
      <c r="H117" s="20" t="s">
        <v>187</v>
      </c>
      <c r="I117" s="20" t="s">
        <v>85</v>
      </c>
      <c r="J117" s="20">
        <v>16</v>
      </c>
      <c r="K117" s="22">
        <v>10100</v>
      </c>
      <c r="L117" s="22">
        <v>161600</v>
      </c>
      <c r="M117" s="22">
        <v>111251.06</v>
      </c>
      <c r="N117" s="22">
        <v>50348.94</v>
      </c>
      <c r="O117" s="23">
        <v>0.31159999999999999</v>
      </c>
      <c r="P117" s="20" t="s">
        <v>80</v>
      </c>
    </row>
    <row r="118" spans="1:16" x14ac:dyDescent="0.3">
      <c r="A118" s="16" t="s">
        <v>254</v>
      </c>
      <c r="B118" s="17">
        <v>45435</v>
      </c>
      <c r="C118" s="16" t="s">
        <v>13</v>
      </c>
      <c r="D118" s="16" t="s">
        <v>55</v>
      </c>
      <c r="E118" s="16" t="s">
        <v>29</v>
      </c>
      <c r="F118" s="16" t="s">
        <v>150</v>
      </c>
      <c r="G118" s="16" t="s">
        <v>40</v>
      </c>
      <c r="H118" s="16" t="s">
        <v>159</v>
      </c>
      <c r="I118" s="16" t="s">
        <v>79</v>
      </c>
      <c r="J118" s="16">
        <v>8</v>
      </c>
      <c r="K118" s="18">
        <v>1000</v>
      </c>
      <c r="L118" s="18">
        <v>8000</v>
      </c>
      <c r="M118" s="18">
        <v>6275.64</v>
      </c>
      <c r="N118" s="18">
        <v>1724.36</v>
      </c>
      <c r="O118" s="19">
        <v>0.2155</v>
      </c>
      <c r="P118" s="16" t="s">
        <v>80</v>
      </c>
    </row>
    <row r="119" spans="1:16" x14ac:dyDescent="0.3">
      <c r="A119" s="20" t="s">
        <v>255</v>
      </c>
      <c r="B119" s="21">
        <v>45643</v>
      </c>
      <c r="C119" s="20" t="s">
        <v>175</v>
      </c>
      <c r="D119" s="20" t="s">
        <v>57</v>
      </c>
      <c r="E119" s="20" t="s">
        <v>31</v>
      </c>
      <c r="F119" s="20" t="s">
        <v>208</v>
      </c>
      <c r="G119" s="20" t="s">
        <v>40</v>
      </c>
      <c r="H119" s="20" t="s">
        <v>159</v>
      </c>
      <c r="I119" s="20" t="s">
        <v>93</v>
      </c>
      <c r="J119" s="20">
        <v>4</v>
      </c>
      <c r="K119" s="22">
        <v>700</v>
      </c>
      <c r="L119" s="22">
        <v>2800</v>
      </c>
      <c r="M119" s="22">
        <v>2170.2800000000002</v>
      </c>
      <c r="N119" s="22">
        <v>629.72</v>
      </c>
      <c r="O119" s="23">
        <v>0.22489999999999999</v>
      </c>
      <c r="P119" s="20" t="s">
        <v>80</v>
      </c>
    </row>
    <row r="120" spans="1:16" x14ac:dyDescent="0.3">
      <c r="A120" s="16" t="s">
        <v>256</v>
      </c>
      <c r="B120" s="17">
        <v>45338</v>
      </c>
      <c r="C120" s="16" t="s">
        <v>82</v>
      </c>
      <c r="D120" s="16" t="s">
        <v>53</v>
      </c>
      <c r="E120" s="16" t="s">
        <v>30</v>
      </c>
      <c r="F120" s="16" t="s">
        <v>108</v>
      </c>
      <c r="G120" s="16" t="s">
        <v>42</v>
      </c>
      <c r="H120" s="16" t="s">
        <v>156</v>
      </c>
      <c r="I120" s="16" t="s">
        <v>109</v>
      </c>
      <c r="J120" s="16">
        <v>8</v>
      </c>
      <c r="K120" s="18">
        <v>11970</v>
      </c>
      <c r="L120" s="18">
        <v>95760</v>
      </c>
      <c r="M120" s="18">
        <v>62351.05</v>
      </c>
      <c r="N120" s="18">
        <v>33408.949999999997</v>
      </c>
      <c r="O120" s="19">
        <v>0.34889999999999999</v>
      </c>
      <c r="P120" s="16" t="s">
        <v>80</v>
      </c>
    </row>
    <row r="121" spans="1:16" x14ac:dyDescent="0.3">
      <c r="A121" s="20" t="s">
        <v>257</v>
      </c>
      <c r="B121" s="21">
        <v>45397</v>
      </c>
      <c r="C121" s="20" t="s">
        <v>142</v>
      </c>
      <c r="D121" s="20" t="s">
        <v>55</v>
      </c>
      <c r="E121" s="20" t="s">
        <v>29</v>
      </c>
      <c r="F121" s="20" t="s">
        <v>150</v>
      </c>
      <c r="G121" s="20" t="s">
        <v>39</v>
      </c>
      <c r="H121" s="20" t="s">
        <v>105</v>
      </c>
      <c r="I121" s="20" t="s">
        <v>79</v>
      </c>
      <c r="J121" s="20">
        <v>5</v>
      </c>
      <c r="K121" s="22">
        <v>1980</v>
      </c>
      <c r="L121" s="22">
        <v>9900</v>
      </c>
      <c r="M121" s="22">
        <v>5159.24</v>
      </c>
      <c r="N121" s="22">
        <v>4740.76</v>
      </c>
      <c r="O121" s="23">
        <v>0.47889999999999999</v>
      </c>
      <c r="P121" s="20" t="s">
        <v>80</v>
      </c>
    </row>
    <row r="122" spans="1:16" x14ac:dyDescent="0.3">
      <c r="A122" s="16" t="s">
        <v>258</v>
      </c>
      <c r="B122" s="17">
        <v>45433</v>
      </c>
      <c r="C122" s="16" t="s">
        <v>13</v>
      </c>
      <c r="D122" s="16" t="s">
        <v>55</v>
      </c>
      <c r="E122" s="16" t="s">
        <v>30</v>
      </c>
      <c r="F122" s="16" t="s">
        <v>126</v>
      </c>
      <c r="G122" s="16" t="s">
        <v>42</v>
      </c>
      <c r="H122" s="16" t="s">
        <v>148</v>
      </c>
      <c r="I122" s="16" t="s">
        <v>131</v>
      </c>
      <c r="J122" s="16">
        <v>1</v>
      </c>
      <c r="K122" s="18">
        <v>2360</v>
      </c>
      <c r="L122" s="18">
        <v>2360</v>
      </c>
      <c r="M122" s="18">
        <v>1738.89</v>
      </c>
      <c r="N122" s="18">
        <v>621.11</v>
      </c>
      <c r="O122" s="19">
        <v>0.26319999999999999</v>
      </c>
      <c r="P122" s="16" t="s">
        <v>80</v>
      </c>
    </row>
    <row r="123" spans="1:16" x14ac:dyDescent="0.3">
      <c r="A123" s="20" t="s">
        <v>259</v>
      </c>
      <c r="B123" s="21">
        <v>45413</v>
      </c>
      <c r="C123" s="20" t="s">
        <v>13</v>
      </c>
      <c r="D123" s="20" t="s">
        <v>55</v>
      </c>
      <c r="E123" s="20" t="s">
        <v>33</v>
      </c>
      <c r="F123" s="20" t="s">
        <v>83</v>
      </c>
      <c r="G123" s="20" t="s">
        <v>38</v>
      </c>
      <c r="H123" s="20" t="s">
        <v>119</v>
      </c>
      <c r="I123" s="20" t="s">
        <v>85</v>
      </c>
      <c r="J123" s="20">
        <v>14</v>
      </c>
      <c r="K123" s="22">
        <v>8930</v>
      </c>
      <c r="L123" s="22">
        <v>125020</v>
      </c>
      <c r="M123" s="22">
        <v>97189.48</v>
      </c>
      <c r="N123" s="22">
        <v>27830.52</v>
      </c>
      <c r="O123" s="23">
        <v>0.22259999999999999</v>
      </c>
      <c r="P123" s="20" t="s">
        <v>80</v>
      </c>
    </row>
    <row r="124" spans="1:16" x14ac:dyDescent="0.3">
      <c r="A124" s="16" t="s">
        <v>260</v>
      </c>
      <c r="B124" s="17">
        <v>45535</v>
      </c>
      <c r="C124" s="16" t="s">
        <v>90</v>
      </c>
      <c r="D124" s="16" t="s">
        <v>56</v>
      </c>
      <c r="E124" s="16" t="s">
        <v>32</v>
      </c>
      <c r="F124" s="16" t="s">
        <v>177</v>
      </c>
      <c r="G124" s="16" t="s">
        <v>42</v>
      </c>
      <c r="H124" s="16" t="s">
        <v>187</v>
      </c>
      <c r="I124" s="16" t="s">
        <v>140</v>
      </c>
      <c r="J124" s="16">
        <v>20</v>
      </c>
      <c r="K124" s="18">
        <v>7950</v>
      </c>
      <c r="L124" s="18">
        <v>159000</v>
      </c>
      <c r="M124" s="18">
        <v>118560.5</v>
      </c>
      <c r="N124" s="18">
        <v>40439.5</v>
      </c>
      <c r="O124" s="19">
        <v>0.25430000000000003</v>
      </c>
      <c r="P124" s="16" t="s">
        <v>80</v>
      </c>
    </row>
    <row r="125" spans="1:16" x14ac:dyDescent="0.3">
      <c r="A125" s="20" t="s">
        <v>261</v>
      </c>
      <c r="B125" s="21">
        <v>45629</v>
      </c>
      <c r="C125" s="20" t="s">
        <v>175</v>
      </c>
      <c r="D125" s="20" t="s">
        <v>57</v>
      </c>
      <c r="E125" s="20" t="s">
        <v>33</v>
      </c>
      <c r="F125" s="20" t="s">
        <v>83</v>
      </c>
      <c r="G125" s="20" t="s">
        <v>41</v>
      </c>
      <c r="H125" s="20" t="s">
        <v>163</v>
      </c>
      <c r="I125" s="20" t="s">
        <v>85</v>
      </c>
      <c r="J125" s="20">
        <v>13</v>
      </c>
      <c r="K125" s="22">
        <v>49930</v>
      </c>
      <c r="L125" s="22">
        <v>649090</v>
      </c>
      <c r="M125" s="22">
        <v>426694.01</v>
      </c>
      <c r="N125" s="22">
        <v>222395.99</v>
      </c>
      <c r="O125" s="23">
        <v>0.34260000000000002</v>
      </c>
      <c r="P125" s="20" t="s">
        <v>80</v>
      </c>
    </row>
    <row r="126" spans="1:16" x14ac:dyDescent="0.3">
      <c r="A126" s="16" t="s">
        <v>262</v>
      </c>
      <c r="B126" s="17">
        <v>45656</v>
      </c>
      <c r="C126" s="16" t="s">
        <v>175</v>
      </c>
      <c r="D126" s="16" t="s">
        <v>57</v>
      </c>
      <c r="E126" s="16" t="s">
        <v>32</v>
      </c>
      <c r="F126" s="16" t="s">
        <v>145</v>
      </c>
      <c r="G126" s="16" t="s">
        <v>38</v>
      </c>
      <c r="H126" s="16" t="s">
        <v>223</v>
      </c>
      <c r="I126" s="16" t="s">
        <v>146</v>
      </c>
      <c r="J126" s="16">
        <v>5</v>
      </c>
      <c r="K126" s="18">
        <v>16130</v>
      </c>
      <c r="L126" s="18">
        <v>80650</v>
      </c>
      <c r="M126" s="18">
        <v>64721.5</v>
      </c>
      <c r="N126" s="18">
        <v>15928.5</v>
      </c>
      <c r="O126" s="19">
        <v>0.19750000000000001</v>
      </c>
      <c r="P126" s="16" t="s">
        <v>80</v>
      </c>
    </row>
    <row r="127" spans="1:16" x14ac:dyDescent="0.3">
      <c r="A127" s="20" t="s">
        <v>263</v>
      </c>
      <c r="B127" s="21">
        <v>45572</v>
      </c>
      <c r="C127" s="20" t="s">
        <v>107</v>
      </c>
      <c r="D127" s="20" t="s">
        <v>57</v>
      </c>
      <c r="E127" s="20" t="s">
        <v>31</v>
      </c>
      <c r="F127" s="20" t="s">
        <v>91</v>
      </c>
      <c r="G127" s="20" t="s">
        <v>42</v>
      </c>
      <c r="H127" s="20" t="s">
        <v>187</v>
      </c>
      <c r="I127" s="20" t="s">
        <v>112</v>
      </c>
      <c r="J127" s="20">
        <v>14</v>
      </c>
      <c r="K127" s="22">
        <v>7980</v>
      </c>
      <c r="L127" s="22">
        <v>111720</v>
      </c>
      <c r="M127" s="22">
        <v>82681.98</v>
      </c>
      <c r="N127" s="22">
        <v>29038.02</v>
      </c>
      <c r="O127" s="23">
        <v>0.25990000000000002</v>
      </c>
      <c r="P127" s="20" t="s">
        <v>80</v>
      </c>
    </row>
    <row r="128" spans="1:16" x14ac:dyDescent="0.3">
      <c r="A128" s="16" t="s">
        <v>264</v>
      </c>
      <c r="B128" s="17">
        <v>45627</v>
      </c>
      <c r="C128" s="16" t="s">
        <v>175</v>
      </c>
      <c r="D128" s="16" t="s">
        <v>57</v>
      </c>
      <c r="E128" s="16" t="s">
        <v>33</v>
      </c>
      <c r="F128" s="16" t="s">
        <v>104</v>
      </c>
      <c r="G128" s="16" t="s">
        <v>39</v>
      </c>
      <c r="H128" s="16" t="s">
        <v>137</v>
      </c>
      <c r="I128" s="16" t="s">
        <v>88</v>
      </c>
      <c r="J128" s="16">
        <v>14</v>
      </c>
      <c r="K128" s="18">
        <v>4500</v>
      </c>
      <c r="L128" s="18">
        <v>63000</v>
      </c>
      <c r="M128" s="18">
        <v>35664.730000000003</v>
      </c>
      <c r="N128" s="18">
        <v>27335.27</v>
      </c>
      <c r="O128" s="19">
        <v>0.43390000000000001</v>
      </c>
      <c r="P128" s="16" t="s">
        <v>80</v>
      </c>
    </row>
    <row r="129" spans="1:16" x14ac:dyDescent="0.3">
      <c r="A129" s="20" t="s">
        <v>265</v>
      </c>
      <c r="B129" s="21">
        <v>45504</v>
      </c>
      <c r="C129" s="20" t="s">
        <v>98</v>
      </c>
      <c r="D129" s="20" t="s">
        <v>56</v>
      </c>
      <c r="E129" s="20" t="s">
        <v>29</v>
      </c>
      <c r="F129" s="20" t="s">
        <v>135</v>
      </c>
      <c r="G129" s="20" t="s">
        <v>41</v>
      </c>
      <c r="H129" s="20" t="s">
        <v>129</v>
      </c>
      <c r="I129" s="20" t="s">
        <v>117</v>
      </c>
      <c r="J129" s="20">
        <v>5</v>
      </c>
      <c r="K129" s="22">
        <v>20590</v>
      </c>
      <c r="L129" s="22">
        <v>102950</v>
      </c>
      <c r="M129" s="22">
        <v>64994.18</v>
      </c>
      <c r="N129" s="22">
        <v>37955.82</v>
      </c>
      <c r="O129" s="23">
        <v>0.36870000000000003</v>
      </c>
      <c r="P129" s="20" t="s">
        <v>80</v>
      </c>
    </row>
    <row r="130" spans="1:16" x14ac:dyDescent="0.3">
      <c r="A130" s="16" t="s">
        <v>266</v>
      </c>
      <c r="B130" s="17">
        <v>45338</v>
      </c>
      <c r="C130" s="16" t="s">
        <v>82</v>
      </c>
      <c r="D130" s="16" t="s">
        <v>53</v>
      </c>
      <c r="E130" s="16" t="s">
        <v>29</v>
      </c>
      <c r="F130" s="16" t="s">
        <v>77</v>
      </c>
      <c r="G130" s="16" t="s">
        <v>41</v>
      </c>
      <c r="H130" s="16" t="s">
        <v>129</v>
      </c>
      <c r="I130" s="16" t="s">
        <v>79</v>
      </c>
      <c r="J130" s="16">
        <v>18</v>
      </c>
      <c r="K130" s="18">
        <v>41150</v>
      </c>
      <c r="L130" s="18">
        <v>740700</v>
      </c>
      <c r="M130" s="18">
        <v>514047.21</v>
      </c>
      <c r="N130" s="18">
        <v>226652.79</v>
      </c>
      <c r="O130" s="19">
        <v>0.30599999999999999</v>
      </c>
      <c r="P130" s="16" t="s">
        <v>80</v>
      </c>
    </row>
    <row r="131" spans="1:16" x14ac:dyDescent="0.3">
      <c r="A131" s="20" t="s">
        <v>267</v>
      </c>
      <c r="B131" s="21">
        <v>45579</v>
      </c>
      <c r="C131" s="20" t="s">
        <v>107</v>
      </c>
      <c r="D131" s="20" t="s">
        <v>57</v>
      </c>
      <c r="E131" s="20" t="s">
        <v>31</v>
      </c>
      <c r="F131" s="20" t="s">
        <v>208</v>
      </c>
      <c r="G131" s="20" t="s">
        <v>38</v>
      </c>
      <c r="H131" s="20" t="s">
        <v>119</v>
      </c>
      <c r="I131" s="20" t="s">
        <v>112</v>
      </c>
      <c r="J131" s="20">
        <v>14</v>
      </c>
      <c r="K131" s="22">
        <v>70520</v>
      </c>
      <c r="L131" s="22">
        <v>987280</v>
      </c>
      <c r="M131" s="22">
        <v>733737.4</v>
      </c>
      <c r="N131" s="22">
        <v>253542.6</v>
      </c>
      <c r="O131" s="23">
        <v>0.25679999999999997</v>
      </c>
      <c r="P131" s="20" t="s">
        <v>80</v>
      </c>
    </row>
    <row r="132" spans="1:16" x14ac:dyDescent="0.3">
      <c r="A132" s="16" t="s">
        <v>268</v>
      </c>
      <c r="B132" s="17">
        <v>45439</v>
      </c>
      <c r="C132" s="16" t="s">
        <v>13</v>
      </c>
      <c r="D132" s="16" t="s">
        <v>55</v>
      </c>
      <c r="E132" s="16" t="s">
        <v>33</v>
      </c>
      <c r="F132" s="16" t="s">
        <v>83</v>
      </c>
      <c r="G132" s="16" t="s">
        <v>40</v>
      </c>
      <c r="H132" s="16" t="s">
        <v>180</v>
      </c>
      <c r="I132" s="16" t="s">
        <v>85</v>
      </c>
      <c r="J132" s="16">
        <v>5</v>
      </c>
      <c r="K132" s="18">
        <v>1110</v>
      </c>
      <c r="L132" s="18">
        <v>5550</v>
      </c>
      <c r="M132" s="18">
        <v>4464.01</v>
      </c>
      <c r="N132" s="18">
        <v>1085.99</v>
      </c>
      <c r="O132" s="19">
        <v>0.19570000000000001</v>
      </c>
      <c r="P132" s="16" t="s">
        <v>80</v>
      </c>
    </row>
    <row r="133" spans="1:16" x14ac:dyDescent="0.3">
      <c r="A133" s="20" t="s">
        <v>269</v>
      </c>
      <c r="B133" s="21">
        <v>45347</v>
      </c>
      <c r="C133" s="20" t="s">
        <v>82</v>
      </c>
      <c r="D133" s="20" t="s">
        <v>53</v>
      </c>
      <c r="E133" s="20" t="s">
        <v>31</v>
      </c>
      <c r="F133" s="20" t="s">
        <v>208</v>
      </c>
      <c r="G133" s="20" t="s">
        <v>40</v>
      </c>
      <c r="H133" s="20" t="s">
        <v>102</v>
      </c>
      <c r="I133" s="20" t="s">
        <v>93</v>
      </c>
      <c r="J133" s="20">
        <v>14</v>
      </c>
      <c r="K133" s="22">
        <v>1230</v>
      </c>
      <c r="L133" s="22">
        <v>17220</v>
      </c>
      <c r="M133" s="22">
        <v>13526.04</v>
      </c>
      <c r="N133" s="22">
        <v>3693.96</v>
      </c>
      <c r="O133" s="23">
        <v>0.2145</v>
      </c>
      <c r="P133" s="20" t="s">
        <v>80</v>
      </c>
    </row>
    <row r="134" spans="1:16" x14ac:dyDescent="0.3">
      <c r="A134" s="16" t="s">
        <v>270</v>
      </c>
      <c r="B134" s="17">
        <v>45610</v>
      </c>
      <c r="C134" s="16" t="s">
        <v>76</v>
      </c>
      <c r="D134" s="16" t="s">
        <v>57</v>
      </c>
      <c r="E134" s="16" t="s">
        <v>33</v>
      </c>
      <c r="F134" s="16" t="s">
        <v>104</v>
      </c>
      <c r="G134" s="16" t="s">
        <v>42</v>
      </c>
      <c r="H134" s="16" t="s">
        <v>133</v>
      </c>
      <c r="I134" s="16" t="s">
        <v>85</v>
      </c>
      <c r="J134" s="16">
        <v>9</v>
      </c>
      <c r="K134" s="18">
        <v>13990</v>
      </c>
      <c r="L134" s="18">
        <v>125910</v>
      </c>
      <c r="M134" s="18">
        <v>94067.95</v>
      </c>
      <c r="N134" s="18">
        <v>31842.05</v>
      </c>
      <c r="O134" s="19">
        <v>0.25290000000000001</v>
      </c>
      <c r="P134" s="16" t="s">
        <v>80</v>
      </c>
    </row>
    <row r="135" spans="1:16" x14ac:dyDescent="0.3">
      <c r="A135" s="20" t="s">
        <v>271</v>
      </c>
      <c r="B135" s="21">
        <v>45450</v>
      </c>
      <c r="C135" s="20" t="s">
        <v>125</v>
      </c>
      <c r="D135" s="20" t="s">
        <v>55</v>
      </c>
      <c r="E135" s="20" t="s">
        <v>31</v>
      </c>
      <c r="F135" s="20" t="s">
        <v>91</v>
      </c>
      <c r="G135" s="20" t="s">
        <v>38</v>
      </c>
      <c r="H135" s="20" t="s">
        <v>100</v>
      </c>
      <c r="I135" s="20" t="s">
        <v>93</v>
      </c>
      <c r="J135" s="20">
        <v>13</v>
      </c>
      <c r="K135" s="22">
        <v>47470</v>
      </c>
      <c r="L135" s="22">
        <v>617110</v>
      </c>
      <c r="M135" s="22">
        <v>507907.11</v>
      </c>
      <c r="N135" s="22">
        <v>109202.89</v>
      </c>
      <c r="O135" s="23">
        <v>0.17699999999999999</v>
      </c>
      <c r="P135" s="20" t="s">
        <v>80</v>
      </c>
    </row>
    <row r="136" spans="1:16" x14ac:dyDescent="0.3">
      <c r="A136" s="16" t="s">
        <v>272</v>
      </c>
      <c r="B136" s="17">
        <v>45307</v>
      </c>
      <c r="C136" s="16" t="s">
        <v>116</v>
      </c>
      <c r="D136" s="16" t="s">
        <v>53</v>
      </c>
      <c r="E136" s="16" t="s">
        <v>29</v>
      </c>
      <c r="F136" s="16" t="s">
        <v>150</v>
      </c>
      <c r="G136" s="16" t="s">
        <v>42</v>
      </c>
      <c r="H136" s="16" t="s">
        <v>187</v>
      </c>
      <c r="I136" s="16" t="s">
        <v>79</v>
      </c>
      <c r="J136" s="16">
        <v>11</v>
      </c>
      <c r="K136" s="18">
        <v>6760</v>
      </c>
      <c r="L136" s="18">
        <v>74360</v>
      </c>
      <c r="M136" s="18">
        <v>54599.5</v>
      </c>
      <c r="N136" s="18">
        <v>19760.5</v>
      </c>
      <c r="O136" s="19">
        <v>0.26569999999999999</v>
      </c>
      <c r="P136" s="16" t="s">
        <v>80</v>
      </c>
    </row>
    <row r="137" spans="1:16" x14ac:dyDescent="0.3">
      <c r="A137" s="20" t="s">
        <v>273</v>
      </c>
      <c r="B137" s="21">
        <v>45458</v>
      </c>
      <c r="C137" s="20" t="s">
        <v>125</v>
      </c>
      <c r="D137" s="20" t="s">
        <v>55</v>
      </c>
      <c r="E137" s="20" t="s">
        <v>33</v>
      </c>
      <c r="F137" s="20" t="s">
        <v>104</v>
      </c>
      <c r="G137" s="20" t="s">
        <v>38</v>
      </c>
      <c r="H137" s="20" t="s">
        <v>100</v>
      </c>
      <c r="I137" s="20" t="s">
        <v>85</v>
      </c>
      <c r="J137" s="20">
        <v>20</v>
      </c>
      <c r="K137" s="22">
        <v>16810</v>
      </c>
      <c r="L137" s="22">
        <v>336200</v>
      </c>
      <c r="M137" s="22">
        <v>277372.99</v>
      </c>
      <c r="N137" s="22">
        <v>58827.01</v>
      </c>
      <c r="O137" s="23">
        <v>0.17499999999999999</v>
      </c>
      <c r="P137" s="20" t="s">
        <v>80</v>
      </c>
    </row>
    <row r="138" spans="1:16" x14ac:dyDescent="0.3">
      <c r="A138" s="16" t="s">
        <v>274</v>
      </c>
      <c r="B138" s="17">
        <v>45518</v>
      </c>
      <c r="C138" s="16" t="s">
        <v>90</v>
      </c>
      <c r="D138" s="16" t="s">
        <v>56</v>
      </c>
      <c r="E138" s="16" t="s">
        <v>32</v>
      </c>
      <c r="F138" s="16" t="s">
        <v>177</v>
      </c>
      <c r="G138" s="16" t="s">
        <v>42</v>
      </c>
      <c r="H138" s="16" t="s">
        <v>187</v>
      </c>
      <c r="I138" s="16" t="s">
        <v>146</v>
      </c>
      <c r="J138" s="16">
        <v>17</v>
      </c>
      <c r="K138" s="18">
        <v>4680</v>
      </c>
      <c r="L138" s="18">
        <v>79560</v>
      </c>
      <c r="M138" s="18">
        <v>58764.47</v>
      </c>
      <c r="N138" s="18">
        <v>20795.53</v>
      </c>
      <c r="O138" s="19">
        <v>0.26140000000000002</v>
      </c>
      <c r="P138" s="16" t="s">
        <v>80</v>
      </c>
    </row>
    <row r="139" spans="1:16" x14ac:dyDescent="0.3">
      <c r="A139" s="20" t="s">
        <v>275</v>
      </c>
      <c r="B139" s="21">
        <v>45437</v>
      </c>
      <c r="C139" s="20" t="s">
        <v>13</v>
      </c>
      <c r="D139" s="20" t="s">
        <v>55</v>
      </c>
      <c r="E139" s="20" t="s">
        <v>33</v>
      </c>
      <c r="F139" s="20" t="s">
        <v>83</v>
      </c>
      <c r="G139" s="20" t="s">
        <v>42</v>
      </c>
      <c r="H139" s="20" t="s">
        <v>156</v>
      </c>
      <c r="I139" s="20" t="s">
        <v>88</v>
      </c>
      <c r="J139" s="20">
        <v>20</v>
      </c>
      <c r="K139" s="22">
        <v>3930</v>
      </c>
      <c r="L139" s="22">
        <v>78600</v>
      </c>
      <c r="M139" s="22">
        <v>58519.41</v>
      </c>
      <c r="N139" s="22">
        <v>20080.59</v>
      </c>
      <c r="O139" s="23">
        <v>0.2555</v>
      </c>
      <c r="P139" s="20" t="s">
        <v>80</v>
      </c>
    </row>
    <row r="140" spans="1:16" x14ac:dyDescent="0.3">
      <c r="A140" s="16" t="s">
        <v>276</v>
      </c>
      <c r="B140" s="17">
        <v>45400</v>
      </c>
      <c r="C140" s="16" t="s">
        <v>142</v>
      </c>
      <c r="D140" s="16" t="s">
        <v>55</v>
      </c>
      <c r="E140" s="16" t="s">
        <v>30</v>
      </c>
      <c r="F140" s="16" t="s">
        <v>158</v>
      </c>
      <c r="G140" s="16" t="s">
        <v>40</v>
      </c>
      <c r="H140" s="16" t="s">
        <v>151</v>
      </c>
      <c r="I140" s="16" t="s">
        <v>131</v>
      </c>
      <c r="J140" s="16">
        <v>14</v>
      </c>
      <c r="K140" s="18">
        <v>210</v>
      </c>
      <c r="L140" s="18">
        <v>2940</v>
      </c>
      <c r="M140" s="18">
        <v>2506.15</v>
      </c>
      <c r="N140" s="18">
        <v>433.85</v>
      </c>
      <c r="O140" s="19">
        <v>0.14760000000000001</v>
      </c>
      <c r="P140" s="16" t="s">
        <v>80</v>
      </c>
    </row>
    <row r="141" spans="1:16" x14ac:dyDescent="0.3">
      <c r="A141" s="20" t="s">
        <v>277</v>
      </c>
      <c r="B141" s="21">
        <v>45652</v>
      </c>
      <c r="C141" s="20" t="s">
        <v>175</v>
      </c>
      <c r="D141" s="20" t="s">
        <v>57</v>
      </c>
      <c r="E141" s="20" t="s">
        <v>30</v>
      </c>
      <c r="F141" s="20" t="s">
        <v>108</v>
      </c>
      <c r="G141" s="20" t="s">
        <v>42</v>
      </c>
      <c r="H141" s="20" t="s">
        <v>156</v>
      </c>
      <c r="I141" s="20" t="s">
        <v>131</v>
      </c>
      <c r="J141" s="20">
        <v>2</v>
      </c>
      <c r="K141" s="22">
        <v>6440</v>
      </c>
      <c r="L141" s="22">
        <v>12880</v>
      </c>
      <c r="M141" s="22">
        <v>9098.15</v>
      </c>
      <c r="N141" s="22">
        <v>3781.85</v>
      </c>
      <c r="O141" s="23">
        <v>0.29360000000000003</v>
      </c>
      <c r="P141" s="20" t="s">
        <v>80</v>
      </c>
    </row>
    <row r="142" spans="1:16" x14ac:dyDescent="0.3">
      <c r="A142" s="16" t="s">
        <v>278</v>
      </c>
      <c r="B142" s="17">
        <v>45331</v>
      </c>
      <c r="C142" s="16" t="s">
        <v>82</v>
      </c>
      <c r="D142" s="16" t="s">
        <v>53</v>
      </c>
      <c r="E142" s="16" t="s">
        <v>31</v>
      </c>
      <c r="F142" s="16" t="s">
        <v>208</v>
      </c>
      <c r="G142" s="16" t="s">
        <v>41</v>
      </c>
      <c r="H142" s="16" t="s">
        <v>96</v>
      </c>
      <c r="I142" s="16" t="s">
        <v>112</v>
      </c>
      <c r="J142" s="16">
        <v>13</v>
      </c>
      <c r="K142" s="18">
        <v>16610</v>
      </c>
      <c r="L142" s="18">
        <v>215930</v>
      </c>
      <c r="M142" s="18">
        <v>150700.64000000001</v>
      </c>
      <c r="N142" s="18">
        <v>65229.36</v>
      </c>
      <c r="O142" s="19">
        <v>0.30209999999999998</v>
      </c>
      <c r="P142" s="16" t="s">
        <v>80</v>
      </c>
    </row>
    <row r="143" spans="1:16" x14ac:dyDescent="0.3">
      <c r="A143" s="20" t="s">
        <v>279</v>
      </c>
      <c r="B143" s="21">
        <v>45608</v>
      </c>
      <c r="C143" s="20" t="s">
        <v>76</v>
      </c>
      <c r="D143" s="20" t="s">
        <v>57</v>
      </c>
      <c r="E143" s="20" t="s">
        <v>32</v>
      </c>
      <c r="F143" s="20" t="s">
        <v>139</v>
      </c>
      <c r="G143" s="20" t="s">
        <v>40</v>
      </c>
      <c r="H143" s="20" t="s">
        <v>159</v>
      </c>
      <c r="I143" s="20" t="s">
        <v>140</v>
      </c>
      <c r="J143" s="20">
        <v>8</v>
      </c>
      <c r="K143" s="22">
        <v>1720</v>
      </c>
      <c r="L143" s="22">
        <v>13760</v>
      </c>
      <c r="M143" s="22">
        <v>11371.71</v>
      </c>
      <c r="N143" s="22">
        <v>2388.29</v>
      </c>
      <c r="O143" s="23">
        <v>0.1736</v>
      </c>
      <c r="P143" s="20" t="s">
        <v>80</v>
      </c>
    </row>
    <row r="144" spans="1:16" x14ac:dyDescent="0.3">
      <c r="A144" s="16" t="s">
        <v>280</v>
      </c>
      <c r="B144" s="17">
        <v>45332</v>
      </c>
      <c r="C144" s="16" t="s">
        <v>82</v>
      </c>
      <c r="D144" s="16" t="s">
        <v>53</v>
      </c>
      <c r="E144" s="16" t="s">
        <v>32</v>
      </c>
      <c r="F144" s="16" t="s">
        <v>177</v>
      </c>
      <c r="G144" s="16" t="s">
        <v>40</v>
      </c>
      <c r="H144" s="16" t="s">
        <v>102</v>
      </c>
      <c r="I144" s="16" t="s">
        <v>140</v>
      </c>
      <c r="J144" s="16">
        <v>3</v>
      </c>
      <c r="K144" s="18">
        <v>1600</v>
      </c>
      <c r="L144" s="18">
        <v>4800</v>
      </c>
      <c r="M144" s="18">
        <v>3930.97</v>
      </c>
      <c r="N144" s="18">
        <v>869.03</v>
      </c>
      <c r="O144" s="19">
        <v>0.18099999999999999</v>
      </c>
      <c r="P144" s="16" t="s">
        <v>80</v>
      </c>
    </row>
    <row r="145" spans="1:16" x14ac:dyDescent="0.3">
      <c r="A145" s="20" t="s">
        <v>281</v>
      </c>
      <c r="B145" s="21">
        <v>45553</v>
      </c>
      <c r="C145" s="20" t="s">
        <v>202</v>
      </c>
      <c r="D145" s="20" t="s">
        <v>56</v>
      </c>
      <c r="E145" s="20" t="s">
        <v>30</v>
      </c>
      <c r="F145" s="20" t="s">
        <v>158</v>
      </c>
      <c r="G145" s="20" t="s">
        <v>40</v>
      </c>
      <c r="H145" s="20" t="s">
        <v>78</v>
      </c>
      <c r="I145" s="20" t="s">
        <v>109</v>
      </c>
      <c r="J145" s="20">
        <v>9</v>
      </c>
      <c r="K145" s="22">
        <v>390</v>
      </c>
      <c r="L145" s="22">
        <v>3510</v>
      </c>
      <c r="M145" s="22">
        <v>2984.46</v>
      </c>
      <c r="N145" s="22">
        <v>525.54</v>
      </c>
      <c r="O145" s="23">
        <v>0.1497</v>
      </c>
      <c r="P145" s="20" t="s">
        <v>80</v>
      </c>
    </row>
    <row r="146" spans="1:16" x14ac:dyDescent="0.3">
      <c r="A146" s="16" t="s">
        <v>282</v>
      </c>
      <c r="B146" s="17">
        <v>45627</v>
      </c>
      <c r="C146" s="16" t="s">
        <v>175</v>
      </c>
      <c r="D146" s="16" t="s">
        <v>57</v>
      </c>
      <c r="E146" s="16" t="s">
        <v>29</v>
      </c>
      <c r="F146" s="16" t="s">
        <v>77</v>
      </c>
      <c r="G146" s="16" t="s">
        <v>41</v>
      </c>
      <c r="H146" s="16" t="s">
        <v>178</v>
      </c>
      <c r="I146" s="16" t="s">
        <v>117</v>
      </c>
      <c r="J146" s="16">
        <v>15</v>
      </c>
      <c r="K146" s="18">
        <v>38710</v>
      </c>
      <c r="L146" s="18">
        <v>580650</v>
      </c>
      <c r="M146" s="18">
        <v>366904.98</v>
      </c>
      <c r="N146" s="18">
        <v>213745.02</v>
      </c>
      <c r="O146" s="19">
        <v>0.36809999999999998</v>
      </c>
      <c r="P146" s="16" t="s">
        <v>80</v>
      </c>
    </row>
    <row r="147" spans="1:16" x14ac:dyDescent="0.3">
      <c r="A147" s="20" t="s">
        <v>283</v>
      </c>
      <c r="B147" s="21">
        <v>45621</v>
      </c>
      <c r="C147" s="20" t="s">
        <v>76</v>
      </c>
      <c r="D147" s="20" t="s">
        <v>57</v>
      </c>
      <c r="E147" s="20" t="s">
        <v>33</v>
      </c>
      <c r="F147" s="20" t="s">
        <v>83</v>
      </c>
      <c r="G147" s="20" t="s">
        <v>40</v>
      </c>
      <c r="H147" s="20" t="s">
        <v>159</v>
      </c>
      <c r="I147" s="20" t="s">
        <v>85</v>
      </c>
      <c r="J147" s="20">
        <v>15</v>
      </c>
      <c r="K147" s="22">
        <v>320</v>
      </c>
      <c r="L147" s="22">
        <v>4800</v>
      </c>
      <c r="M147" s="22">
        <v>3872.94</v>
      </c>
      <c r="N147" s="22">
        <v>927.06</v>
      </c>
      <c r="O147" s="23">
        <v>0.19309999999999999</v>
      </c>
      <c r="P147" s="20" t="s">
        <v>80</v>
      </c>
    </row>
    <row r="148" spans="1:16" x14ac:dyDescent="0.3">
      <c r="A148" s="16" t="s">
        <v>284</v>
      </c>
      <c r="B148" s="17">
        <v>45594</v>
      </c>
      <c r="C148" s="16" t="s">
        <v>107</v>
      </c>
      <c r="D148" s="16" t="s">
        <v>57</v>
      </c>
      <c r="E148" s="16" t="s">
        <v>29</v>
      </c>
      <c r="F148" s="16" t="s">
        <v>135</v>
      </c>
      <c r="G148" s="16" t="s">
        <v>42</v>
      </c>
      <c r="H148" s="16" t="s">
        <v>114</v>
      </c>
      <c r="I148" s="16" t="s">
        <v>79</v>
      </c>
      <c r="J148" s="16">
        <v>2</v>
      </c>
      <c r="K148" s="18">
        <v>7360</v>
      </c>
      <c r="L148" s="18">
        <v>14720</v>
      </c>
      <c r="M148" s="18">
        <v>10956.26</v>
      </c>
      <c r="N148" s="18">
        <v>3763.74</v>
      </c>
      <c r="O148" s="19">
        <v>0.25569999999999998</v>
      </c>
      <c r="P148" s="16" t="s">
        <v>80</v>
      </c>
    </row>
    <row r="149" spans="1:16" x14ac:dyDescent="0.3">
      <c r="A149" s="20" t="s">
        <v>285</v>
      </c>
      <c r="B149" s="21">
        <v>45331</v>
      </c>
      <c r="C149" s="20" t="s">
        <v>82</v>
      </c>
      <c r="D149" s="20" t="s">
        <v>53</v>
      </c>
      <c r="E149" s="20" t="s">
        <v>29</v>
      </c>
      <c r="F149" s="20" t="s">
        <v>150</v>
      </c>
      <c r="G149" s="20" t="s">
        <v>42</v>
      </c>
      <c r="H149" s="20" t="s">
        <v>187</v>
      </c>
      <c r="I149" s="20" t="s">
        <v>117</v>
      </c>
      <c r="J149" s="20">
        <v>2</v>
      </c>
      <c r="K149" s="22">
        <v>9040</v>
      </c>
      <c r="L149" s="22">
        <v>18080</v>
      </c>
      <c r="M149" s="22">
        <v>12746.88</v>
      </c>
      <c r="N149" s="22">
        <v>5333.12</v>
      </c>
      <c r="O149" s="23">
        <v>0.29499999999999998</v>
      </c>
      <c r="P149" s="20" t="s">
        <v>80</v>
      </c>
    </row>
    <row r="150" spans="1:16" x14ac:dyDescent="0.3">
      <c r="A150" s="16" t="s">
        <v>286</v>
      </c>
      <c r="B150" s="17">
        <v>45625</v>
      </c>
      <c r="C150" s="16" t="s">
        <v>76</v>
      </c>
      <c r="D150" s="16" t="s">
        <v>57</v>
      </c>
      <c r="E150" s="16" t="s">
        <v>30</v>
      </c>
      <c r="F150" s="16" t="s">
        <v>158</v>
      </c>
      <c r="G150" s="16" t="s">
        <v>42</v>
      </c>
      <c r="H150" s="16" t="s">
        <v>133</v>
      </c>
      <c r="I150" s="16" t="s">
        <v>131</v>
      </c>
      <c r="J150" s="16">
        <v>2</v>
      </c>
      <c r="K150" s="18">
        <v>2940</v>
      </c>
      <c r="L150" s="18">
        <v>5880</v>
      </c>
      <c r="M150" s="18">
        <v>4145.09</v>
      </c>
      <c r="N150" s="18">
        <v>1734.91</v>
      </c>
      <c r="O150" s="19">
        <v>0.29509999999999997</v>
      </c>
      <c r="P150" s="16" t="s">
        <v>80</v>
      </c>
    </row>
    <row r="151" spans="1:16" x14ac:dyDescent="0.3">
      <c r="A151" s="20" t="s">
        <v>287</v>
      </c>
      <c r="B151" s="21">
        <v>45467</v>
      </c>
      <c r="C151" s="20" t="s">
        <v>125</v>
      </c>
      <c r="D151" s="20" t="s">
        <v>55</v>
      </c>
      <c r="E151" s="20" t="s">
        <v>29</v>
      </c>
      <c r="F151" s="20" t="s">
        <v>150</v>
      </c>
      <c r="G151" s="20" t="s">
        <v>39</v>
      </c>
      <c r="H151" s="20" t="s">
        <v>105</v>
      </c>
      <c r="I151" s="20" t="s">
        <v>79</v>
      </c>
      <c r="J151" s="20">
        <v>15</v>
      </c>
      <c r="K151" s="22">
        <v>3680</v>
      </c>
      <c r="L151" s="22">
        <v>55200</v>
      </c>
      <c r="M151" s="22">
        <v>30227.14</v>
      </c>
      <c r="N151" s="22">
        <v>24972.86</v>
      </c>
      <c r="O151" s="23">
        <v>0.45240000000000002</v>
      </c>
      <c r="P151" s="20" t="s">
        <v>80</v>
      </c>
    </row>
    <row r="152" spans="1:16" x14ac:dyDescent="0.3">
      <c r="A152" s="16" t="s">
        <v>288</v>
      </c>
      <c r="B152" s="17">
        <v>45478</v>
      </c>
      <c r="C152" s="16" t="s">
        <v>98</v>
      </c>
      <c r="D152" s="16" t="s">
        <v>56</v>
      </c>
      <c r="E152" s="16" t="s">
        <v>31</v>
      </c>
      <c r="F152" s="16" t="s">
        <v>91</v>
      </c>
      <c r="G152" s="16" t="s">
        <v>41</v>
      </c>
      <c r="H152" s="16" t="s">
        <v>129</v>
      </c>
      <c r="I152" s="16" t="s">
        <v>112</v>
      </c>
      <c r="J152" s="16">
        <v>2</v>
      </c>
      <c r="K152" s="18">
        <v>34910</v>
      </c>
      <c r="L152" s="18">
        <v>69820</v>
      </c>
      <c r="M152" s="18">
        <v>43363.62</v>
      </c>
      <c r="N152" s="18">
        <v>26456.38</v>
      </c>
      <c r="O152" s="19">
        <v>0.37890000000000001</v>
      </c>
      <c r="P152" s="16" t="s">
        <v>80</v>
      </c>
    </row>
    <row r="153" spans="1:16" x14ac:dyDescent="0.3">
      <c r="A153" s="20" t="s">
        <v>289</v>
      </c>
      <c r="B153" s="21">
        <v>45325</v>
      </c>
      <c r="C153" s="20" t="s">
        <v>82</v>
      </c>
      <c r="D153" s="20" t="s">
        <v>53</v>
      </c>
      <c r="E153" s="20" t="s">
        <v>31</v>
      </c>
      <c r="F153" s="20" t="s">
        <v>95</v>
      </c>
      <c r="G153" s="20" t="s">
        <v>42</v>
      </c>
      <c r="H153" s="20" t="s">
        <v>114</v>
      </c>
      <c r="I153" s="20" t="s">
        <v>112</v>
      </c>
      <c r="J153" s="20">
        <v>20</v>
      </c>
      <c r="K153" s="22">
        <v>4380</v>
      </c>
      <c r="L153" s="22">
        <v>87600</v>
      </c>
      <c r="M153" s="22">
        <v>58050.07</v>
      </c>
      <c r="N153" s="22">
        <v>29549.93</v>
      </c>
      <c r="O153" s="23">
        <v>0.33729999999999999</v>
      </c>
      <c r="P153" s="20" t="s">
        <v>80</v>
      </c>
    </row>
    <row r="154" spans="1:16" x14ac:dyDescent="0.3">
      <c r="A154" s="16" t="s">
        <v>290</v>
      </c>
      <c r="B154" s="17">
        <v>45590</v>
      </c>
      <c r="C154" s="16" t="s">
        <v>107</v>
      </c>
      <c r="D154" s="16" t="s">
        <v>57</v>
      </c>
      <c r="E154" s="16" t="s">
        <v>30</v>
      </c>
      <c r="F154" s="16" t="s">
        <v>158</v>
      </c>
      <c r="G154" s="16" t="s">
        <v>40</v>
      </c>
      <c r="H154" s="16" t="s">
        <v>78</v>
      </c>
      <c r="I154" s="16" t="s">
        <v>131</v>
      </c>
      <c r="J154" s="16">
        <v>3</v>
      </c>
      <c r="K154" s="18">
        <v>1270</v>
      </c>
      <c r="L154" s="18">
        <v>3810</v>
      </c>
      <c r="M154" s="18">
        <v>3196.75</v>
      </c>
      <c r="N154" s="18">
        <v>613.25</v>
      </c>
      <c r="O154" s="19">
        <v>0.161</v>
      </c>
      <c r="P154" s="16" t="s">
        <v>80</v>
      </c>
    </row>
    <row r="155" spans="1:16" x14ac:dyDescent="0.3">
      <c r="A155" s="20" t="s">
        <v>291</v>
      </c>
      <c r="B155" s="21">
        <v>45460</v>
      </c>
      <c r="C155" s="20" t="s">
        <v>125</v>
      </c>
      <c r="D155" s="20" t="s">
        <v>55</v>
      </c>
      <c r="E155" s="20" t="s">
        <v>30</v>
      </c>
      <c r="F155" s="20" t="s">
        <v>108</v>
      </c>
      <c r="G155" s="20" t="s">
        <v>42</v>
      </c>
      <c r="H155" s="20" t="s">
        <v>187</v>
      </c>
      <c r="I155" s="20" t="s">
        <v>109</v>
      </c>
      <c r="J155" s="20">
        <v>1</v>
      </c>
      <c r="K155" s="22">
        <v>8020</v>
      </c>
      <c r="L155" s="22">
        <v>8020</v>
      </c>
      <c r="M155" s="22">
        <v>5724.2</v>
      </c>
      <c r="N155" s="22">
        <v>2295.8000000000002</v>
      </c>
      <c r="O155" s="23">
        <v>0.2863</v>
      </c>
      <c r="P155" s="20" t="s">
        <v>80</v>
      </c>
    </row>
    <row r="156" spans="1:16" x14ac:dyDescent="0.3">
      <c r="A156" s="16" t="s">
        <v>292</v>
      </c>
      <c r="B156" s="17">
        <v>45401</v>
      </c>
      <c r="C156" s="16" t="s">
        <v>142</v>
      </c>
      <c r="D156" s="16" t="s">
        <v>55</v>
      </c>
      <c r="E156" s="16" t="s">
        <v>31</v>
      </c>
      <c r="F156" s="16" t="s">
        <v>91</v>
      </c>
      <c r="G156" s="16" t="s">
        <v>39</v>
      </c>
      <c r="H156" s="16" t="s">
        <v>105</v>
      </c>
      <c r="I156" s="16" t="s">
        <v>93</v>
      </c>
      <c r="J156" s="16">
        <v>10</v>
      </c>
      <c r="K156" s="18">
        <v>1200</v>
      </c>
      <c r="L156" s="18">
        <v>12000</v>
      </c>
      <c r="M156" s="18">
        <v>6186.69</v>
      </c>
      <c r="N156" s="18">
        <v>5813.31</v>
      </c>
      <c r="O156" s="19">
        <v>0.4844</v>
      </c>
      <c r="P156" s="16" t="s">
        <v>80</v>
      </c>
    </row>
    <row r="157" spans="1:16" x14ac:dyDescent="0.3">
      <c r="A157" s="20" t="s">
        <v>293</v>
      </c>
      <c r="B157" s="21">
        <v>45568</v>
      </c>
      <c r="C157" s="20" t="s">
        <v>107</v>
      </c>
      <c r="D157" s="20" t="s">
        <v>57</v>
      </c>
      <c r="E157" s="20" t="s">
        <v>33</v>
      </c>
      <c r="F157" s="20" t="s">
        <v>99</v>
      </c>
      <c r="G157" s="20" t="s">
        <v>40</v>
      </c>
      <c r="H157" s="20" t="s">
        <v>180</v>
      </c>
      <c r="I157" s="20" t="s">
        <v>85</v>
      </c>
      <c r="J157" s="20">
        <v>6</v>
      </c>
      <c r="K157" s="22">
        <v>880</v>
      </c>
      <c r="L157" s="22">
        <v>5280</v>
      </c>
      <c r="M157" s="22">
        <v>4498.1099999999997</v>
      </c>
      <c r="N157" s="22">
        <v>781.89</v>
      </c>
      <c r="O157" s="23">
        <v>0.14810000000000001</v>
      </c>
      <c r="P157" s="20" t="s">
        <v>80</v>
      </c>
    </row>
    <row r="158" spans="1:16" x14ac:dyDescent="0.3">
      <c r="A158" s="16" t="s">
        <v>294</v>
      </c>
      <c r="B158" s="17">
        <v>45611</v>
      </c>
      <c r="C158" s="16" t="s">
        <v>76</v>
      </c>
      <c r="D158" s="16" t="s">
        <v>57</v>
      </c>
      <c r="E158" s="16" t="s">
        <v>30</v>
      </c>
      <c r="F158" s="16" t="s">
        <v>108</v>
      </c>
      <c r="G158" s="16" t="s">
        <v>41</v>
      </c>
      <c r="H158" s="16" t="s">
        <v>96</v>
      </c>
      <c r="I158" s="16" t="s">
        <v>109</v>
      </c>
      <c r="J158" s="16">
        <v>8</v>
      </c>
      <c r="K158" s="18">
        <v>20120</v>
      </c>
      <c r="L158" s="18">
        <v>160960</v>
      </c>
      <c r="M158" s="18">
        <v>97065.5</v>
      </c>
      <c r="N158" s="18">
        <v>63894.5</v>
      </c>
      <c r="O158" s="19">
        <v>0.39700000000000002</v>
      </c>
      <c r="P158" s="16" t="s">
        <v>80</v>
      </c>
    </row>
    <row r="159" spans="1:16" x14ac:dyDescent="0.3">
      <c r="A159" s="20" t="s">
        <v>295</v>
      </c>
      <c r="B159" s="21">
        <v>45521</v>
      </c>
      <c r="C159" s="20" t="s">
        <v>90</v>
      </c>
      <c r="D159" s="20" t="s">
        <v>56</v>
      </c>
      <c r="E159" s="20" t="s">
        <v>30</v>
      </c>
      <c r="F159" s="20" t="s">
        <v>108</v>
      </c>
      <c r="G159" s="20" t="s">
        <v>39</v>
      </c>
      <c r="H159" s="20" t="s">
        <v>137</v>
      </c>
      <c r="I159" s="20" t="s">
        <v>131</v>
      </c>
      <c r="J159" s="20">
        <v>7</v>
      </c>
      <c r="K159" s="22">
        <v>4570</v>
      </c>
      <c r="L159" s="22">
        <v>31990</v>
      </c>
      <c r="M159" s="22">
        <v>18017.28</v>
      </c>
      <c r="N159" s="22">
        <v>13972.72</v>
      </c>
      <c r="O159" s="23">
        <v>0.43680000000000002</v>
      </c>
      <c r="P159" s="20" t="s">
        <v>80</v>
      </c>
    </row>
    <row r="160" spans="1:16" x14ac:dyDescent="0.3">
      <c r="A160" s="16" t="s">
        <v>296</v>
      </c>
      <c r="B160" s="17">
        <v>45517</v>
      </c>
      <c r="C160" s="16" t="s">
        <v>90</v>
      </c>
      <c r="D160" s="16" t="s">
        <v>56</v>
      </c>
      <c r="E160" s="16" t="s">
        <v>32</v>
      </c>
      <c r="F160" s="16" t="s">
        <v>177</v>
      </c>
      <c r="G160" s="16" t="s">
        <v>41</v>
      </c>
      <c r="H160" s="16" t="s">
        <v>169</v>
      </c>
      <c r="I160" s="16" t="s">
        <v>146</v>
      </c>
      <c r="J160" s="16">
        <v>20</v>
      </c>
      <c r="K160" s="18">
        <v>41390</v>
      </c>
      <c r="L160" s="18">
        <v>827800</v>
      </c>
      <c r="M160" s="18">
        <v>568003.37</v>
      </c>
      <c r="N160" s="18">
        <v>259796.63</v>
      </c>
      <c r="O160" s="19">
        <v>0.31380000000000002</v>
      </c>
      <c r="P160" s="16" t="s">
        <v>80</v>
      </c>
    </row>
    <row r="161" spans="1:16" x14ac:dyDescent="0.3">
      <c r="A161" s="20" t="s">
        <v>297</v>
      </c>
      <c r="B161" s="21">
        <v>45620</v>
      </c>
      <c r="C161" s="20" t="s">
        <v>76</v>
      </c>
      <c r="D161" s="20" t="s">
        <v>57</v>
      </c>
      <c r="E161" s="20" t="s">
        <v>32</v>
      </c>
      <c r="F161" s="20" t="s">
        <v>177</v>
      </c>
      <c r="G161" s="20" t="s">
        <v>42</v>
      </c>
      <c r="H161" s="20" t="s">
        <v>133</v>
      </c>
      <c r="I161" s="20" t="s">
        <v>140</v>
      </c>
      <c r="J161" s="20">
        <v>10</v>
      </c>
      <c r="K161" s="22">
        <v>12890</v>
      </c>
      <c r="L161" s="22">
        <v>128900</v>
      </c>
      <c r="M161" s="22">
        <v>95593.85</v>
      </c>
      <c r="N161" s="22">
        <v>33306.15</v>
      </c>
      <c r="O161" s="23">
        <v>0.25840000000000002</v>
      </c>
      <c r="P161" s="20" t="s">
        <v>80</v>
      </c>
    </row>
    <row r="162" spans="1:16" x14ac:dyDescent="0.3">
      <c r="A162" s="16" t="s">
        <v>298</v>
      </c>
      <c r="B162" s="17">
        <v>45522</v>
      </c>
      <c r="C162" s="16" t="s">
        <v>90</v>
      </c>
      <c r="D162" s="16" t="s">
        <v>56</v>
      </c>
      <c r="E162" s="16" t="s">
        <v>33</v>
      </c>
      <c r="F162" s="16" t="s">
        <v>99</v>
      </c>
      <c r="G162" s="16" t="s">
        <v>41</v>
      </c>
      <c r="H162" s="16" t="s">
        <v>169</v>
      </c>
      <c r="I162" s="16" t="s">
        <v>85</v>
      </c>
      <c r="J162" s="16">
        <v>12</v>
      </c>
      <c r="K162" s="18">
        <v>41390</v>
      </c>
      <c r="L162" s="18">
        <v>496680</v>
      </c>
      <c r="M162" s="18">
        <v>301461.32</v>
      </c>
      <c r="N162" s="18">
        <v>195218.68</v>
      </c>
      <c r="O162" s="19">
        <v>0.39300000000000002</v>
      </c>
      <c r="P162" s="16" t="s">
        <v>80</v>
      </c>
    </row>
    <row r="163" spans="1:16" x14ac:dyDescent="0.3">
      <c r="A163" s="20" t="s">
        <v>299</v>
      </c>
      <c r="B163" s="21">
        <v>45494</v>
      </c>
      <c r="C163" s="20" t="s">
        <v>98</v>
      </c>
      <c r="D163" s="20" t="s">
        <v>56</v>
      </c>
      <c r="E163" s="20" t="s">
        <v>33</v>
      </c>
      <c r="F163" s="20" t="s">
        <v>83</v>
      </c>
      <c r="G163" s="20" t="s">
        <v>39</v>
      </c>
      <c r="H163" s="20" t="s">
        <v>127</v>
      </c>
      <c r="I163" s="20" t="s">
        <v>88</v>
      </c>
      <c r="J163" s="20">
        <v>1</v>
      </c>
      <c r="K163" s="22">
        <v>2190</v>
      </c>
      <c r="L163" s="22">
        <v>2190</v>
      </c>
      <c r="M163" s="22">
        <v>1244.21</v>
      </c>
      <c r="N163" s="22">
        <v>945.79</v>
      </c>
      <c r="O163" s="23">
        <v>0.43190000000000001</v>
      </c>
      <c r="P163" s="20" t="s">
        <v>80</v>
      </c>
    </row>
    <row r="164" spans="1:16" x14ac:dyDescent="0.3">
      <c r="A164" s="16" t="s">
        <v>300</v>
      </c>
      <c r="B164" s="17">
        <v>45624</v>
      </c>
      <c r="C164" s="16" t="s">
        <v>76</v>
      </c>
      <c r="D164" s="16" t="s">
        <v>57</v>
      </c>
      <c r="E164" s="16" t="s">
        <v>31</v>
      </c>
      <c r="F164" s="16" t="s">
        <v>95</v>
      </c>
      <c r="G164" s="16" t="s">
        <v>39</v>
      </c>
      <c r="H164" s="16" t="s">
        <v>92</v>
      </c>
      <c r="I164" s="16" t="s">
        <v>93</v>
      </c>
      <c r="J164" s="16">
        <v>16</v>
      </c>
      <c r="K164" s="18">
        <v>4630</v>
      </c>
      <c r="L164" s="18">
        <v>74080</v>
      </c>
      <c r="M164" s="18">
        <v>39291.5</v>
      </c>
      <c r="N164" s="18">
        <v>34788.5</v>
      </c>
      <c r="O164" s="19">
        <v>0.46960000000000002</v>
      </c>
      <c r="P164" s="16" t="s">
        <v>80</v>
      </c>
    </row>
    <row r="165" spans="1:16" x14ac:dyDescent="0.3">
      <c r="A165" s="20" t="s">
        <v>301</v>
      </c>
      <c r="B165" s="21">
        <v>45653</v>
      </c>
      <c r="C165" s="20" t="s">
        <v>175</v>
      </c>
      <c r="D165" s="20" t="s">
        <v>57</v>
      </c>
      <c r="E165" s="20" t="s">
        <v>32</v>
      </c>
      <c r="F165" s="20" t="s">
        <v>177</v>
      </c>
      <c r="G165" s="20" t="s">
        <v>42</v>
      </c>
      <c r="H165" s="20" t="s">
        <v>156</v>
      </c>
      <c r="I165" s="20" t="s">
        <v>140</v>
      </c>
      <c r="J165" s="20">
        <v>7</v>
      </c>
      <c r="K165" s="22">
        <v>1070</v>
      </c>
      <c r="L165" s="22">
        <v>7490</v>
      </c>
      <c r="M165" s="22">
        <v>4992.1099999999997</v>
      </c>
      <c r="N165" s="22">
        <v>2497.89</v>
      </c>
      <c r="O165" s="23">
        <v>0.33350000000000002</v>
      </c>
      <c r="P165" s="20" t="s">
        <v>80</v>
      </c>
    </row>
    <row r="166" spans="1:16" x14ac:dyDescent="0.3">
      <c r="A166" s="16" t="s">
        <v>302</v>
      </c>
      <c r="B166" s="17">
        <v>45603</v>
      </c>
      <c r="C166" s="16" t="s">
        <v>76</v>
      </c>
      <c r="D166" s="16" t="s">
        <v>57</v>
      </c>
      <c r="E166" s="16" t="s">
        <v>33</v>
      </c>
      <c r="F166" s="16" t="s">
        <v>83</v>
      </c>
      <c r="G166" s="16" t="s">
        <v>38</v>
      </c>
      <c r="H166" s="16" t="s">
        <v>100</v>
      </c>
      <c r="I166" s="16" t="s">
        <v>88</v>
      </c>
      <c r="J166" s="16">
        <v>2</v>
      </c>
      <c r="K166" s="18">
        <v>27590</v>
      </c>
      <c r="L166" s="18">
        <v>55180</v>
      </c>
      <c r="M166" s="18">
        <v>44483.69</v>
      </c>
      <c r="N166" s="18">
        <v>10696.31</v>
      </c>
      <c r="O166" s="19">
        <v>0.1938</v>
      </c>
      <c r="P166" s="16" t="s">
        <v>80</v>
      </c>
    </row>
    <row r="167" spans="1:16" x14ac:dyDescent="0.3">
      <c r="A167" s="20" t="s">
        <v>303</v>
      </c>
      <c r="B167" s="21">
        <v>45610</v>
      </c>
      <c r="C167" s="20" t="s">
        <v>76</v>
      </c>
      <c r="D167" s="20" t="s">
        <v>57</v>
      </c>
      <c r="E167" s="20" t="s">
        <v>32</v>
      </c>
      <c r="F167" s="20" t="s">
        <v>145</v>
      </c>
      <c r="G167" s="20" t="s">
        <v>38</v>
      </c>
      <c r="H167" s="20" t="s">
        <v>223</v>
      </c>
      <c r="I167" s="20" t="s">
        <v>146</v>
      </c>
      <c r="J167" s="20">
        <v>17</v>
      </c>
      <c r="K167" s="22">
        <v>45200</v>
      </c>
      <c r="L167" s="22">
        <v>768400</v>
      </c>
      <c r="M167" s="22">
        <v>593585.35</v>
      </c>
      <c r="N167" s="22">
        <v>174814.65</v>
      </c>
      <c r="O167" s="23">
        <v>0.22750000000000001</v>
      </c>
      <c r="P167" s="20" t="s">
        <v>80</v>
      </c>
    </row>
    <row r="168" spans="1:16" x14ac:dyDescent="0.3">
      <c r="A168" s="16" t="s">
        <v>304</v>
      </c>
      <c r="B168" s="17">
        <v>45441</v>
      </c>
      <c r="C168" s="16" t="s">
        <v>13</v>
      </c>
      <c r="D168" s="16" t="s">
        <v>55</v>
      </c>
      <c r="E168" s="16" t="s">
        <v>32</v>
      </c>
      <c r="F168" s="16" t="s">
        <v>145</v>
      </c>
      <c r="G168" s="16" t="s">
        <v>42</v>
      </c>
      <c r="H168" s="16" t="s">
        <v>148</v>
      </c>
      <c r="I168" s="16" t="s">
        <v>146</v>
      </c>
      <c r="J168" s="16">
        <v>6</v>
      </c>
      <c r="K168" s="18">
        <v>8900</v>
      </c>
      <c r="L168" s="18">
        <v>53400</v>
      </c>
      <c r="M168" s="18">
        <v>36502.26</v>
      </c>
      <c r="N168" s="18">
        <v>16897.740000000002</v>
      </c>
      <c r="O168" s="19">
        <v>0.31640000000000001</v>
      </c>
      <c r="P168" s="16" t="s">
        <v>80</v>
      </c>
    </row>
    <row r="169" spans="1:16" x14ac:dyDescent="0.3">
      <c r="A169" s="20" t="s">
        <v>305</v>
      </c>
      <c r="B169" s="21">
        <v>45476</v>
      </c>
      <c r="C169" s="20" t="s">
        <v>98</v>
      </c>
      <c r="D169" s="20" t="s">
        <v>56</v>
      </c>
      <c r="E169" s="20" t="s">
        <v>29</v>
      </c>
      <c r="F169" s="20" t="s">
        <v>150</v>
      </c>
      <c r="G169" s="20" t="s">
        <v>42</v>
      </c>
      <c r="H169" s="20" t="s">
        <v>187</v>
      </c>
      <c r="I169" s="20" t="s">
        <v>79</v>
      </c>
      <c r="J169" s="20">
        <v>2</v>
      </c>
      <c r="K169" s="22">
        <v>13200</v>
      </c>
      <c r="L169" s="22">
        <v>26400</v>
      </c>
      <c r="M169" s="22">
        <v>18121.830000000002</v>
      </c>
      <c r="N169" s="22">
        <v>8278.17</v>
      </c>
      <c r="O169" s="23">
        <v>0.31359999999999999</v>
      </c>
      <c r="P169" s="20" t="s">
        <v>80</v>
      </c>
    </row>
    <row r="170" spans="1:16" x14ac:dyDescent="0.3">
      <c r="A170" s="16" t="s">
        <v>306</v>
      </c>
      <c r="B170" s="17">
        <v>45421</v>
      </c>
      <c r="C170" s="16" t="s">
        <v>13</v>
      </c>
      <c r="D170" s="16" t="s">
        <v>55</v>
      </c>
      <c r="E170" s="16" t="s">
        <v>29</v>
      </c>
      <c r="F170" s="16" t="s">
        <v>135</v>
      </c>
      <c r="G170" s="16" t="s">
        <v>38</v>
      </c>
      <c r="H170" s="16" t="s">
        <v>100</v>
      </c>
      <c r="I170" s="16" t="s">
        <v>117</v>
      </c>
      <c r="J170" s="16">
        <v>4</v>
      </c>
      <c r="K170" s="18">
        <v>59970</v>
      </c>
      <c r="L170" s="18">
        <v>239880</v>
      </c>
      <c r="M170" s="18">
        <v>180593.63</v>
      </c>
      <c r="N170" s="18">
        <v>59286.37</v>
      </c>
      <c r="O170" s="19">
        <v>0.2472</v>
      </c>
      <c r="P170" s="16" t="s">
        <v>80</v>
      </c>
    </row>
    <row r="171" spans="1:16" x14ac:dyDescent="0.3">
      <c r="A171" s="20" t="s">
        <v>307</v>
      </c>
      <c r="B171" s="21">
        <v>45462</v>
      </c>
      <c r="C171" s="20" t="s">
        <v>125</v>
      </c>
      <c r="D171" s="20" t="s">
        <v>55</v>
      </c>
      <c r="E171" s="20" t="s">
        <v>30</v>
      </c>
      <c r="F171" s="20" t="s">
        <v>126</v>
      </c>
      <c r="G171" s="20" t="s">
        <v>40</v>
      </c>
      <c r="H171" s="20" t="s">
        <v>78</v>
      </c>
      <c r="I171" s="20" t="s">
        <v>131</v>
      </c>
      <c r="J171" s="20">
        <v>15</v>
      </c>
      <c r="K171" s="22">
        <v>1690</v>
      </c>
      <c r="L171" s="22">
        <v>25350</v>
      </c>
      <c r="M171" s="22">
        <v>19568.12</v>
      </c>
      <c r="N171" s="22">
        <v>5781.88</v>
      </c>
      <c r="O171" s="23">
        <v>0.2281</v>
      </c>
      <c r="P171" s="20" t="s">
        <v>80</v>
      </c>
    </row>
    <row r="172" spans="1:16" x14ac:dyDescent="0.3">
      <c r="A172" s="16" t="s">
        <v>308</v>
      </c>
      <c r="B172" s="17">
        <v>45385</v>
      </c>
      <c r="C172" s="16" t="s">
        <v>142</v>
      </c>
      <c r="D172" s="16" t="s">
        <v>55</v>
      </c>
      <c r="E172" s="16" t="s">
        <v>30</v>
      </c>
      <c r="F172" s="16" t="s">
        <v>126</v>
      </c>
      <c r="G172" s="16" t="s">
        <v>41</v>
      </c>
      <c r="H172" s="16" t="s">
        <v>129</v>
      </c>
      <c r="I172" s="16" t="s">
        <v>109</v>
      </c>
      <c r="J172" s="16">
        <v>7</v>
      </c>
      <c r="K172" s="18">
        <v>12470</v>
      </c>
      <c r="L172" s="18">
        <v>87290</v>
      </c>
      <c r="M172" s="18">
        <v>53370.94</v>
      </c>
      <c r="N172" s="18">
        <v>33919.06</v>
      </c>
      <c r="O172" s="19">
        <v>0.3886</v>
      </c>
      <c r="P172" s="16" t="s">
        <v>80</v>
      </c>
    </row>
    <row r="173" spans="1:16" x14ac:dyDescent="0.3">
      <c r="A173" s="20" t="s">
        <v>309</v>
      </c>
      <c r="B173" s="21">
        <v>45450</v>
      </c>
      <c r="C173" s="20" t="s">
        <v>125</v>
      </c>
      <c r="D173" s="20" t="s">
        <v>55</v>
      </c>
      <c r="E173" s="20" t="s">
        <v>33</v>
      </c>
      <c r="F173" s="20" t="s">
        <v>83</v>
      </c>
      <c r="G173" s="20" t="s">
        <v>42</v>
      </c>
      <c r="H173" s="20" t="s">
        <v>114</v>
      </c>
      <c r="I173" s="20" t="s">
        <v>88</v>
      </c>
      <c r="J173" s="20">
        <v>7</v>
      </c>
      <c r="K173" s="22">
        <v>1320</v>
      </c>
      <c r="L173" s="22">
        <v>9240</v>
      </c>
      <c r="M173" s="22">
        <v>6665.63</v>
      </c>
      <c r="N173" s="22">
        <v>2574.37</v>
      </c>
      <c r="O173" s="23">
        <v>0.27860000000000001</v>
      </c>
      <c r="P173" s="20" t="s">
        <v>80</v>
      </c>
    </row>
    <row r="174" spans="1:16" x14ac:dyDescent="0.3">
      <c r="A174" s="16" t="s">
        <v>310</v>
      </c>
      <c r="B174" s="17">
        <v>45316</v>
      </c>
      <c r="C174" s="16" t="s">
        <v>116</v>
      </c>
      <c r="D174" s="16" t="s">
        <v>53</v>
      </c>
      <c r="E174" s="16" t="s">
        <v>31</v>
      </c>
      <c r="F174" s="16" t="s">
        <v>91</v>
      </c>
      <c r="G174" s="16" t="s">
        <v>38</v>
      </c>
      <c r="H174" s="16" t="s">
        <v>123</v>
      </c>
      <c r="I174" s="16" t="s">
        <v>112</v>
      </c>
      <c r="J174" s="16">
        <v>15</v>
      </c>
      <c r="K174" s="18">
        <v>71710</v>
      </c>
      <c r="L174" s="18">
        <v>1075650</v>
      </c>
      <c r="M174" s="18">
        <v>796557.82</v>
      </c>
      <c r="N174" s="18">
        <v>279092.18</v>
      </c>
      <c r="O174" s="19">
        <v>0.25950000000000001</v>
      </c>
      <c r="P174" s="16" t="s">
        <v>80</v>
      </c>
    </row>
    <row r="175" spans="1:16" x14ac:dyDescent="0.3">
      <c r="A175" s="20" t="s">
        <v>311</v>
      </c>
      <c r="B175" s="21">
        <v>45387</v>
      </c>
      <c r="C175" s="20" t="s">
        <v>142</v>
      </c>
      <c r="D175" s="20" t="s">
        <v>55</v>
      </c>
      <c r="E175" s="20" t="s">
        <v>32</v>
      </c>
      <c r="F175" s="20" t="s">
        <v>139</v>
      </c>
      <c r="G175" s="20" t="s">
        <v>41</v>
      </c>
      <c r="H175" s="20" t="s">
        <v>178</v>
      </c>
      <c r="I175" s="20" t="s">
        <v>146</v>
      </c>
      <c r="J175" s="20">
        <v>3</v>
      </c>
      <c r="K175" s="22">
        <v>15540</v>
      </c>
      <c r="L175" s="22">
        <v>46620</v>
      </c>
      <c r="M175" s="22">
        <v>29244.35</v>
      </c>
      <c r="N175" s="22">
        <v>17375.650000000001</v>
      </c>
      <c r="O175" s="23">
        <v>0.37269999999999998</v>
      </c>
      <c r="P175" s="20" t="s">
        <v>80</v>
      </c>
    </row>
    <row r="176" spans="1:16" x14ac:dyDescent="0.3">
      <c r="A176" s="16" t="s">
        <v>312</v>
      </c>
      <c r="B176" s="17">
        <v>45600</v>
      </c>
      <c r="C176" s="16" t="s">
        <v>76</v>
      </c>
      <c r="D176" s="16" t="s">
        <v>57</v>
      </c>
      <c r="E176" s="16" t="s">
        <v>30</v>
      </c>
      <c r="F176" s="16" t="s">
        <v>108</v>
      </c>
      <c r="G176" s="16" t="s">
        <v>40</v>
      </c>
      <c r="H176" s="16" t="s">
        <v>151</v>
      </c>
      <c r="I176" s="16" t="s">
        <v>131</v>
      </c>
      <c r="J176" s="16">
        <v>10</v>
      </c>
      <c r="K176" s="18">
        <v>340</v>
      </c>
      <c r="L176" s="18">
        <v>3400</v>
      </c>
      <c r="M176" s="18">
        <v>2853.79</v>
      </c>
      <c r="N176" s="18">
        <v>546.21</v>
      </c>
      <c r="O176" s="19">
        <v>0.16070000000000001</v>
      </c>
      <c r="P176" s="16" t="s">
        <v>80</v>
      </c>
    </row>
    <row r="177" spans="1:16" x14ac:dyDescent="0.3">
      <c r="A177" s="20" t="s">
        <v>313</v>
      </c>
      <c r="B177" s="21">
        <v>45510</v>
      </c>
      <c r="C177" s="20" t="s">
        <v>90</v>
      </c>
      <c r="D177" s="20" t="s">
        <v>56</v>
      </c>
      <c r="E177" s="20" t="s">
        <v>30</v>
      </c>
      <c r="F177" s="20" t="s">
        <v>108</v>
      </c>
      <c r="G177" s="20" t="s">
        <v>41</v>
      </c>
      <c r="H177" s="20" t="s">
        <v>96</v>
      </c>
      <c r="I177" s="20" t="s">
        <v>131</v>
      </c>
      <c r="J177" s="20">
        <v>12</v>
      </c>
      <c r="K177" s="22">
        <v>4990</v>
      </c>
      <c r="L177" s="22">
        <v>59880</v>
      </c>
      <c r="M177" s="22">
        <v>38234.269999999997</v>
      </c>
      <c r="N177" s="22">
        <v>21645.73</v>
      </c>
      <c r="O177" s="23">
        <v>0.36149999999999999</v>
      </c>
      <c r="P177" s="20" t="s">
        <v>80</v>
      </c>
    </row>
    <row r="178" spans="1:16" x14ac:dyDescent="0.3">
      <c r="A178" s="16" t="s">
        <v>314</v>
      </c>
      <c r="B178" s="17">
        <v>45619</v>
      </c>
      <c r="C178" s="16" t="s">
        <v>76</v>
      </c>
      <c r="D178" s="16" t="s">
        <v>57</v>
      </c>
      <c r="E178" s="16" t="s">
        <v>29</v>
      </c>
      <c r="F178" s="16" t="s">
        <v>77</v>
      </c>
      <c r="G178" s="16" t="s">
        <v>41</v>
      </c>
      <c r="H178" s="16" t="s">
        <v>178</v>
      </c>
      <c r="I178" s="16" t="s">
        <v>117</v>
      </c>
      <c r="J178" s="16">
        <v>6</v>
      </c>
      <c r="K178" s="18">
        <v>40650</v>
      </c>
      <c r="L178" s="18">
        <v>243900</v>
      </c>
      <c r="M178" s="18">
        <v>147491.47</v>
      </c>
      <c r="N178" s="18">
        <v>96408.53</v>
      </c>
      <c r="O178" s="19">
        <v>0.39529999999999998</v>
      </c>
      <c r="P178" s="16" t="s">
        <v>80</v>
      </c>
    </row>
    <row r="179" spans="1:16" x14ac:dyDescent="0.3">
      <c r="A179" s="20" t="s">
        <v>315</v>
      </c>
      <c r="B179" s="21">
        <v>45603</v>
      </c>
      <c r="C179" s="20" t="s">
        <v>76</v>
      </c>
      <c r="D179" s="20" t="s">
        <v>57</v>
      </c>
      <c r="E179" s="20" t="s">
        <v>32</v>
      </c>
      <c r="F179" s="20" t="s">
        <v>145</v>
      </c>
      <c r="G179" s="20" t="s">
        <v>39</v>
      </c>
      <c r="H179" s="20" t="s">
        <v>105</v>
      </c>
      <c r="I179" s="20" t="s">
        <v>140</v>
      </c>
      <c r="J179" s="20">
        <v>12</v>
      </c>
      <c r="K179" s="22">
        <v>4000</v>
      </c>
      <c r="L179" s="22">
        <v>48000</v>
      </c>
      <c r="M179" s="22">
        <v>27061.68</v>
      </c>
      <c r="N179" s="22">
        <v>20938.32</v>
      </c>
      <c r="O179" s="23">
        <v>0.43619999999999998</v>
      </c>
      <c r="P179" s="20" t="s">
        <v>80</v>
      </c>
    </row>
    <row r="180" spans="1:16" x14ac:dyDescent="0.3">
      <c r="A180" s="16" t="s">
        <v>316</v>
      </c>
      <c r="B180" s="17">
        <v>45308</v>
      </c>
      <c r="C180" s="16" t="s">
        <v>116</v>
      </c>
      <c r="D180" s="16" t="s">
        <v>53</v>
      </c>
      <c r="E180" s="16" t="s">
        <v>33</v>
      </c>
      <c r="F180" s="16" t="s">
        <v>99</v>
      </c>
      <c r="G180" s="16" t="s">
        <v>41</v>
      </c>
      <c r="H180" s="16" t="s">
        <v>129</v>
      </c>
      <c r="I180" s="16" t="s">
        <v>88</v>
      </c>
      <c r="J180" s="16">
        <v>3</v>
      </c>
      <c r="K180" s="18">
        <v>23870</v>
      </c>
      <c r="L180" s="18">
        <v>71610</v>
      </c>
      <c r="M180" s="18">
        <v>46017.15</v>
      </c>
      <c r="N180" s="18">
        <v>25592.85</v>
      </c>
      <c r="O180" s="19">
        <v>0.3574</v>
      </c>
      <c r="P180" s="16" t="s">
        <v>80</v>
      </c>
    </row>
    <row r="181" spans="1:16" x14ac:dyDescent="0.3">
      <c r="A181" s="20" t="s">
        <v>317</v>
      </c>
      <c r="B181" s="21">
        <v>45495</v>
      </c>
      <c r="C181" s="20" t="s">
        <v>98</v>
      </c>
      <c r="D181" s="20" t="s">
        <v>56</v>
      </c>
      <c r="E181" s="20" t="s">
        <v>31</v>
      </c>
      <c r="F181" s="20" t="s">
        <v>208</v>
      </c>
      <c r="G181" s="20" t="s">
        <v>40</v>
      </c>
      <c r="H181" s="20" t="s">
        <v>151</v>
      </c>
      <c r="I181" s="20" t="s">
        <v>93</v>
      </c>
      <c r="J181" s="20">
        <v>6</v>
      </c>
      <c r="K181" s="22">
        <v>250</v>
      </c>
      <c r="L181" s="22">
        <v>1500</v>
      </c>
      <c r="M181" s="22">
        <v>1230.1400000000001</v>
      </c>
      <c r="N181" s="22">
        <v>269.86</v>
      </c>
      <c r="O181" s="23">
        <v>0.1799</v>
      </c>
      <c r="P181" s="20" t="s">
        <v>80</v>
      </c>
    </row>
    <row r="182" spans="1:16" x14ac:dyDescent="0.3">
      <c r="A182" s="16" t="s">
        <v>318</v>
      </c>
      <c r="B182" s="17">
        <v>45579</v>
      </c>
      <c r="C182" s="16" t="s">
        <v>107</v>
      </c>
      <c r="D182" s="16" t="s">
        <v>57</v>
      </c>
      <c r="E182" s="16" t="s">
        <v>29</v>
      </c>
      <c r="F182" s="16" t="s">
        <v>135</v>
      </c>
      <c r="G182" s="16" t="s">
        <v>40</v>
      </c>
      <c r="H182" s="16" t="s">
        <v>78</v>
      </c>
      <c r="I182" s="16" t="s">
        <v>117</v>
      </c>
      <c r="J182" s="16">
        <v>10</v>
      </c>
      <c r="K182" s="18">
        <v>1990</v>
      </c>
      <c r="L182" s="18">
        <v>19900</v>
      </c>
      <c r="M182" s="18">
        <v>15931.98</v>
      </c>
      <c r="N182" s="18">
        <v>3968.02</v>
      </c>
      <c r="O182" s="19">
        <v>0.19939999999999999</v>
      </c>
      <c r="P182" s="16" t="s">
        <v>80</v>
      </c>
    </row>
    <row r="183" spans="1:16" x14ac:dyDescent="0.3">
      <c r="A183" s="20" t="s">
        <v>319</v>
      </c>
      <c r="B183" s="21">
        <v>45394</v>
      </c>
      <c r="C183" s="20" t="s">
        <v>142</v>
      </c>
      <c r="D183" s="20" t="s">
        <v>55</v>
      </c>
      <c r="E183" s="20" t="s">
        <v>29</v>
      </c>
      <c r="F183" s="20" t="s">
        <v>77</v>
      </c>
      <c r="G183" s="20" t="s">
        <v>38</v>
      </c>
      <c r="H183" s="20" t="s">
        <v>100</v>
      </c>
      <c r="I183" s="20" t="s">
        <v>117</v>
      </c>
      <c r="J183" s="20">
        <v>15</v>
      </c>
      <c r="K183" s="22">
        <v>72400</v>
      </c>
      <c r="L183" s="22">
        <v>1086000</v>
      </c>
      <c r="M183" s="22">
        <v>793077.3</v>
      </c>
      <c r="N183" s="22">
        <v>292922.7</v>
      </c>
      <c r="O183" s="23">
        <v>0.2697</v>
      </c>
      <c r="P183" s="20" t="s">
        <v>80</v>
      </c>
    </row>
    <row r="184" spans="1:16" x14ac:dyDescent="0.3">
      <c r="A184" s="16" t="s">
        <v>320</v>
      </c>
      <c r="B184" s="17">
        <v>45455</v>
      </c>
      <c r="C184" s="16" t="s">
        <v>125</v>
      </c>
      <c r="D184" s="16" t="s">
        <v>55</v>
      </c>
      <c r="E184" s="16" t="s">
        <v>31</v>
      </c>
      <c r="F184" s="16" t="s">
        <v>208</v>
      </c>
      <c r="G184" s="16" t="s">
        <v>38</v>
      </c>
      <c r="H184" s="16" t="s">
        <v>119</v>
      </c>
      <c r="I184" s="16" t="s">
        <v>112</v>
      </c>
      <c r="J184" s="16">
        <v>6</v>
      </c>
      <c r="K184" s="18">
        <v>68850</v>
      </c>
      <c r="L184" s="18">
        <v>413100</v>
      </c>
      <c r="M184" s="18">
        <v>310085.40000000002</v>
      </c>
      <c r="N184" s="18">
        <v>103014.6</v>
      </c>
      <c r="O184" s="19">
        <v>0.24940000000000001</v>
      </c>
      <c r="P184" s="16" t="s">
        <v>80</v>
      </c>
    </row>
    <row r="185" spans="1:16" x14ac:dyDescent="0.3">
      <c r="A185" s="20" t="s">
        <v>321</v>
      </c>
      <c r="B185" s="21">
        <v>45354</v>
      </c>
      <c r="C185" s="20" t="s">
        <v>122</v>
      </c>
      <c r="D185" s="20" t="s">
        <v>53</v>
      </c>
      <c r="E185" s="20" t="s">
        <v>30</v>
      </c>
      <c r="F185" s="20" t="s">
        <v>126</v>
      </c>
      <c r="G185" s="20" t="s">
        <v>39</v>
      </c>
      <c r="H185" s="20" t="s">
        <v>127</v>
      </c>
      <c r="I185" s="20" t="s">
        <v>131</v>
      </c>
      <c r="J185" s="20">
        <v>19</v>
      </c>
      <c r="K185" s="22">
        <v>2120</v>
      </c>
      <c r="L185" s="22">
        <v>40280</v>
      </c>
      <c r="M185" s="22">
        <v>22682.03</v>
      </c>
      <c r="N185" s="22">
        <v>17597.97</v>
      </c>
      <c r="O185" s="23">
        <v>0.43690000000000001</v>
      </c>
      <c r="P185" s="20" t="s">
        <v>80</v>
      </c>
    </row>
    <row r="186" spans="1:16" x14ac:dyDescent="0.3">
      <c r="A186" s="16" t="s">
        <v>322</v>
      </c>
      <c r="B186" s="17">
        <v>45574</v>
      </c>
      <c r="C186" s="16" t="s">
        <v>107</v>
      </c>
      <c r="D186" s="16" t="s">
        <v>57</v>
      </c>
      <c r="E186" s="16" t="s">
        <v>30</v>
      </c>
      <c r="F186" s="16" t="s">
        <v>108</v>
      </c>
      <c r="G186" s="16" t="s">
        <v>38</v>
      </c>
      <c r="H186" s="16" t="s">
        <v>119</v>
      </c>
      <c r="I186" s="16" t="s">
        <v>109</v>
      </c>
      <c r="J186" s="16">
        <v>16</v>
      </c>
      <c r="K186" s="18">
        <v>34860</v>
      </c>
      <c r="L186" s="18">
        <v>557760</v>
      </c>
      <c r="M186" s="18">
        <v>433619.6</v>
      </c>
      <c r="N186" s="18">
        <v>124140.4</v>
      </c>
      <c r="O186" s="19">
        <v>0.22259999999999999</v>
      </c>
      <c r="P186" s="16" t="s">
        <v>80</v>
      </c>
    </row>
    <row r="187" spans="1:16" x14ac:dyDescent="0.3">
      <c r="A187" s="20" t="s">
        <v>323</v>
      </c>
      <c r="B187" s="21">
        <v>45586</v>
      </c>
      <c r="C187" s="20" t="s">
        <v>107</v>
      </c>
      <c r="D187" s="20" t="s">
        <v>57</v>
      </c>
      <c r="E187" s="20" t="s">
        <v>29</v>
      </c>
      <c r="F187" s="20" t="s">
        <v>77</v>
      </c>
      <c r="G187" s="20" t="s">
        <v>40</v>
      </c>
      <c r="H187" s="20" t="s">
        <v>159</v>
      </c>
      <c r="I187" s="20" t="s">
        <v>79</v>
      </c>
      <c r="J187" s="20">
        <v>17</v>
      </c>
      <c r="K187" s="22">
        <v>1040</v>
      </c>
      <c r="L187" s="22">
        <v>17680</v>
      </c>
      <c r="M187" s="22">
        <v>14772.5</v>
      </c>
      <c r="N187" s="22">
        <v>2907.5</v>
      </c>
      <c r="O187" s="23">
        <v>0.16450000000000001</v>
      </c>
      <c r="P187" s="20" t="s">
        <v>80</v>
      </c>
    </row>
    <row r="188" spans="1:16" x14ac:dyDescent="0.3">
      <c r="A188" s="16" t="s">
        <v>324</v>
      </c>
      <c r="B188" s="17">
        <v>45574</v>
      </c>
      <c r="C188" s="16" t="s">
        <v>107</v>
      </c>
      <c r="D188" s="16" t="s">
        <v>57</v>
      </c>
      <c r="E188" s="16" t="s">
        <v>33</v>
      </c>
      <c r="F188" s="16" t="s">
        <v>99</v>
      </c>
      <c r="G188" s="16" t="s">
        <v>39</v>
      </c>
      <c r="H188" s="16" t="s">
        <v>87</v>
      </c>
      <c r="I188" s="16" t="s">
        <v>88</v>
      </c>
      <c r="J188" s="16">
        <v>2</v>
      </c>
      <c r="K188" s="18">
        <v>4600</v>
      </c>
      <c r="L188" s="18">
        <v>9200</v>
      </c>
      <c r="M188" s="18">
        <v>4755.12</v>
      </c>
      <c r="N188" s="18">
        <v>4444.88</v>
      </c>
      <c r="O188" s="19">
        <v>0.48309999999999997</v>
      </c>
      <c r="P188" s="16" t="s">
        <v>80</v>
      </c>
    </row>
    <row r="189" spans="1:16" x14ac:dyDescent="0.3">
      <c r="A189" s="20" t="s">
        <v>325</v>
      </c>
      <c r="B189" s="21">
        <v>45447</v>
      </c>
      <c r="C189" s="20" t="s">
        <v>125</v>
      </c>
      <c r="D189" s="20" t="s">
        <v>55</v>
      </c>
      <c r="E189" s="20" t="s">
        <v>30</v>
      </c>
      <c r="F189" s="20" t="s">
        <v>126</v>
      </c>
      <c r="G189" s="20" t="s">
        <v>40</v>
      </c>
      <c r="H189" s="20" t="s">
        <v>102</v>
      </c>
      <c r="I189" s="20" t="s">
        <v>109</v>
      </c>
      <c r="J189" s="20">
        <v>17</v>
      </c>
      <c r="K189" s="22">
        <v>1910</v>
      </c>
      <c r="L189" s="22">
        <v>32470</v>
      </c>
      <c r="M189" s="22">
        <v>25343.08</v>
      </c>
      <c r="N189" s="22">
        <v>7126.92</v>
      </c>
      <c r="O189" s="23">
        <v>0.2195</v>
      </c>
      <c r="P189" s="20" t="s">
        <v>80</v>
      </c>
    </row>
    <row r="190" spans="1:16" x14ac:dyDescent="0.3">
      <c r="A190" s="16" t="s">
        <v>326</v>
      </c>
      <c r="B190" s="17">
        <v>45420</v>
      </c>
      <c r="C190" s="16" t="s">
        <v>13</v>
      </c>
      <c r="D190" s="16" t="s">
        <v>55</v>
      </c>
      <c r="E190" s="16" t="s">
        <v>30</v>
      </c>
      <c r="F190" s="16" t="s">
        <v>108</v>
      </c>
      <c r="G190" s="16" t="s">
        <v>42</v>
      </c>
      <c r="H190" s="16" t="s">
        <v>148</v>
      </c>
      <c r="I190" s="16" t="s">
        <v>131</v>
      </c>
      <c r="J190" s="16">
        <v>20</v>
      </c>
      <c r="K190" s="18">
        <v>9680</v>
      </c>
      <c r="L190" s="18">
        <v>193600</v>
      </c>
      <c r="M190" s="18">
        <v>134871.87</v>
      </c>
      <c r="N190" s="18">
        <v>58728.13</v>
      </c>
      <c r="O190" s="19">
        <v>0.30330000000000001</v>
      </c>
      <c r="P190" s="16" t="s">
        <v>80</v>
      </c>
    </row>
    <row r="191" spans="1:16" x14ac:dyDescent="0.3">
      <c r="A191" s="20" t="s">
        <v>327</v>
      </c>
      <c r="B191" s="21">
        <v>45378</v>
      </c>
      <c r="C191" s="20" t="s">
        <v>122</v>
      </c>
      <c r="D191" s="20" t="s">
        <v>53</v>
      </c>
      <c r="E191" s="20" t="s">
        <v>33</v>
      </c>
      <c r="F191" s="20" t="s">
        <v>104</v>
      </c>
      <c r="G191" s="20" t="s">
        <v>39</v>
      </c>
      <c r="H191" s="20" t="s">
        <v>87</v>
      </c>
      <c r="I191" s="20" t="s">
        <v>85</v>
      </c>
      <c r="J191" s="20">
        <v>20</v>
      </c>
      <c r="K191" s="22">
        <v>3740</v>
      </c>
      <c r="L191" s="22">
        <v>74800</v>
      </c>
      <c r="M191" s="22">
        <v>42354.61</v>
      </c>
      <c r="N191" s="22">
        <v>32445.39</v>
      </c>
      <c r="O191" s="23">
        <v>0.43380000000000002</v>
      </c>
      <c r="P191" s="20" t="s">
        <v>80</v>
      </c>
    </row>
    <row r="192" spans="1:16" x14ac:dyDescent="0.3">
      <c r="A192" s="16" t="s">
        <v>328</v>
      </c>
      <c r="B192" s="17">
        <v>45313</v>
      </c>
      <c r="C192" s="16" t="s">
        <v>116</v>
      </c>
      <c r="D192" s="16" t="s">
        <v>53</v>
      </c>
      <c r="E192" s="16" t="s">
        <v>29</v>
      </c>
      <c r="F192" s="16" t="s">
        <v>77</v>
      </c>
      <c r="G192" s="16" t="s">
        <v>38</v>
      </c>
      <c r="H192" s="16" t="s">
        <v>100</v>
      </c>
      <c r="I192" s="16" t="s">
        <v>117</v>
      </c>
      <c r="J192" s="16">
        <v>14</v>
      </c>
      <c r="K192" s="18">
        <v>62520</v>
      </c>
      <c r="L192" s="18">
        <v>875280</v>
      </c>
      <c r="M192" s="18">
        <v>672380.61</v>
      </c>
      <c r="N192" s="18">
        <v>202899.39</v>
      </c>
      <c r="O192" s="19">
        <v>0.23180000000000001</v>
      </c>
      <c r="P192" s="16" t="s">
        <v>110</v>
      </c>
    </row>
    <row r="193" spans="1:16" x14ac:dyDescent="0.3">
      <c r="A193" s="20" t="s">
        <v>329</v>
      </c>
      <c r="B193" s="21">
        <v>45613</v>
      </c>
      <c r="C193" s="20" t="s">
        <v>76</v>
      </c>
      <c r="D193" s="20" t="s">
        <v>57</v>
      </c>
      <c r="E193" s="20" t="s">
        <v>33</v>
      </c>
      <c r="F193" s="20" t="s">
        <v>83</v>
      </c>
      <c r="G193" s="20" t="s">
        <v>40</v>
      </c>
      <c r="H193" s="20" t="s">
        <v>78</v>
      </c>
      <c r="I193" s="20" t="s">
        <v>88</v>
      </c>
      <c r="J193" s="20">
        <v>13</v>
      </c>
      <c r="K193" s="22">
        <v>1650</v>
      </c>
      <c r="L193" s="22">
        <v>21450</v>
      </c>
      <c r="M193" s="22">
        <v>18023.5</v>
      </c>
      <c r="N193" s="22">
        <v>3426.5</v>
      </c>
      <c r="O193" s="23">
        <v>0.15970000000000001</v>
      </c>
      <c r="P193" s="20" t="s">
        <v>80</v>
      </c>
    </row>
    <row r="194" spans="1:16" x14ac:dyDescent="0.3">
      <c r="A194" s="16" t="s">
        <v>330</v>
      </c>
      <c r="B194" s="17">
        <v>45322</v>
      </c>
      <c r="C194" s="16" t="s">
        <v>116</v>
      </c>
      <c r="D194" s="16" t="s">
        <v>53</v>
      </c>
      <c r="E194" s="16" t="s">
        <v>30</v>
      </c>
      <c r="F194" s="16" t="s">
        <v>158</v>
      </c>
      <c r="G194" s="16" t="s">
        <v>41</v>
      </c>
      <c r="H194" s="16" t="s">
        <v>96</v>
      </c>
      <c r="I194" s="16" t="s">
        <v>131</v>
      </c>
      <c r="J194" s="16">
        <v>20</v>
      </c>
      <c r="K194" s="18">
        <v>12590</v>
      </c>
      <c r="L194" s="18">
        <v>251800</v>
      </c>
      <c r="M194" s="18">
        <v>172642.42</v>
      </c>
      <c r="N194" s="18">
        <v>79157.58</v>
      </c>
      <c r="O194" s="19">
        <v>0.31440000000000001</v>
      </c>
      <c r="P194" s="16" t="s">
        <v>80</v>
      </c>
    </row>
    <row r="195" spans="1:16" x14ac:dyDescent="0.3">
      <c r="A195" s="20" t="s">
        <v>331</v>
      </c>
      <c r="B195" s="21">
        <v>45455</v>
      </c>
      <c r="C195" s="20" t="s">
        <v>125</v>
      </c>
      <c r="D195" s="20" t="s">
        <v>55</v>
      </c>
      <c r="E195" s="20" t="s">
        <v>31</v>
      </c>
      <c r="F195" s="20" t="s">
        <v>91</v>
      </c>
      <c r="G195" s="20" t="s">
        <v>39</v>
      </c>
      <c r="H195" s="20" t="s">
        <v>87</v>
      </c>
      <c r="I195" s="20" t="s">
        <v>112</v>
      </c>
      <c r="J195" s="20">
        <v>11</v>
      </c>
      <c r="K195" s="22">
        <v>3030</v>
      </c>
      <c r="L195" s="22">
        <v>33330</v>
      </c>
      <c r="M195" s="22">
        <v>19192.29</v>
      </c>
      <c r="N195" s="22">
        <v>14137.71</v>
      </c>
      <c r="O195" s="23">
        <v>0.42420000000000002</v>
      </c>
      <c r="P195" s="20" t="s">
        <v>80</v>
      </c>
    </row>
    <row r="196" spans="1:16" x14ac:dyDescent="0.3">
      <c r="A196" s="16" t="s">
        <v>332</v>
      </c>
      <c r="B196" s="17">
        <v>45522</v>
      </c>
      <c r="C196" s="16" t="s">
        <v>90</v>
      </c>
      <c r="D196" s="16" t="s">
        <v>56</v>
      </c>
      <c r="E196" s="16" t="s">
        <v>30</v>
      </c>
      <c r="F196" s="16" t="s">
        <v>126</v>
      </c>
      <c r="G196" s="16" t="s">
        <v>38</v>
      </c>
      <c r="H196" s="16" t="s">
        <v>119</v>
      </c>
      <c r="I196" s="16" t="s">
        <v>109</v>
      </c>
      <c r="J196" s="16">
        <v>20</v>
      </c>
      <c r="K196" s="18">
        <v>75900</v>
      </c>
      <c r="L196" s="18">
        <v>1518000</v>
      </c>
      <c r="M196" s="18">
        <v>1196467.1499999999</v>
      </c>
      <c r="N196" s="18">
        <v>321532.84999999998</v>
      </c>
      <c r="O196" s="19">
        <v>0.21179999999999999</v>
      </c>
      <c r="P196" s="16" t="s">
        <v>80</v>
      </c>
    </row>
    <row r="197" spans="1:16" x14ac:dyDescent="0.3">
      <c r="A197" s="20" t="s">
        <v>333</v>
      </c>
      <c r="B197" s="21">
        <v>45373</v>
      </c>
      <c r="C197" s="20" t="s">
        <v>122</v>
      </c>
      <c r="D197" s="20" t="s">
        <v>53</v>
      </c>
      <c r="E197" s="20" t="s">
        <v>31</v>
      </c>
      <c r="F197" s="20" t="s">
        <v>208</v>
      </c>
      <c r="G197" s="20" t="s">
        <v>40</v>
      </c>
      <c r="H197" s="20" t="s">
        <v>78</v>
      </c>
      <c r="I197" s="20" t="s">
        <v>93</v>
      </c>
      <c r="J197" s="20">
        <v>17</v>
      </c>
      <c r="K197" s="22">
        <v>1100</v>
      </c>
      <c r="L197" s="22">
        <v>18700</v>
      </c>
      <c r="M197" s="22">
        <v>15396.06</v>
      </c>
      <c r="N197" s="22">
        <v>3303.94</v>
      </c>
      <c r="O197" s="23">
        <v>0.1767</v>
      </c>
      <c r="P197" s="20" t="s">
        <v>80</v>
      </c>
    </row>
    <row r="198" spans="1:16" x14ac:dyDescent="0.3">
      <c r="A198" s="16" t="s">
        <v>334</v>
      </c>
      <c r="B198" s="17">
        <v>45546</v>
      </c>
      <c r="C198" s="16" t="s">
        <v>202</v>
      </c>
      <c r="D198" s="16" t="s">
        <v>56</v>
      </c>
      <c r="E198" s="16" t="s">
        <v>29</v>
      </c>
      <c r="F198" s="16" t="s">
        <v>77</v>
      </c>
      <c r="G198" s="16" t="s">
        <v>41</v>
      </c>
      <c r="H198" s="16" t="s">
        <v>169</v>
      </c>
      <c r="I198" s="16" t="s">
        <v>117</v>
      </c>
      <c r="J198" s="16">
        <v>12</v>
      </c>
      <c r="K198" s="18">
        <v>13110</v>
      </c>
      <c r="L198" s="18">
        <v>157320</v>
      </c>
      <c r="M198" s="18">
        <v>109358.51</v>
      </c>
      <c r="N198" s="18">
        <v>47961.49</v>
      </c>
      <c r="O198" s="19">
        <v>0.3049</v>
      </c>
      <c r="P198" s="16" t="s">
        <v>80</v>
      </c>
    </row>
    <row r="199" spans="1:16" x14ac:dyDescent="0.3">
      <c r="A199" s="20" t="s">
        <v>335</v>
      </c>
      <c r="B199" s="21">
        <v>45597</v>
      </c>
      <c r="C199" s="20" t="s">
        <v>76</v>
      </c>
      <c r="D199" s="20" t="s">
        <v>57</v>
      </c>
      <c r="E199" s="20" t="s">
        <v>32</v>
      </c>
      <c r="F199" s="20" t="s">
        <v>177</v>
      </c>
      <c r="G199" s="20" t="s">
        <v>42</v>
      </c>
      <c r="H199" s="20" t="s">
        <v>156</v>
      </c>
      <c r="I199" s="20" t="s">
        <v>140</v>
      </c>
      <c r="J199" s="20">
        <v>9</v>
      </c>
      <c r="K199" s="22">
        <v>6920</v>
      </c>
      <c r="L199" s="22">
        <v>62280</v>
      </c>
      <c r="M199" s="22">
        <v>42179.08</v>
      </c>
      <c r="N199" s="22">
        <v>20100.919999999998</v>
      </c>
      <c r="O199" s="23">
        <v>0.32279999999999998</v>
      </c>
      <c r="P199" s="20" t="s">
        <v>80</v>
      </c>
    </row>
    <row r="200" spans="1:16" x14ac:dyDescent="0.3">
      <c r="A200" s="16" t="s">
        <v>336</v>
      </c>
      <c r="B200" s="17">
        <v>45479</v>
      </c>
      <c r="C200" s="16" t="s">
        <v>98</v>
      </c>
      <c r="D200" s="16" t="s">
        <v>56</v>
      </c>
      <c r="E200" s="16" t="s">
        <v>29</v>
      </c>
      <c r="F200" s="16" t="s">
        <v>135</v>
      </c>
      <c r="G200" s="16" t="s">
        <v>38</v>
      </c>
      <c r="H200" s="16" t="s">
        <v>119</v>
      </c>
      <c r="I200" s="16" t="s">
        <v>79</v>
      </c>
      <c r="J200" s="16">
        <v>3</v>
      </c>
      <c r="K200" s="18">
        <v>46490</v>
      </c>
      <c r="L200" s="18">
        <v>139470</v>
      </c>
      <c r="M200" s="18">
        <v>110371.69</v>
      </c>
      <c r="N200" s="18">
        <v>29098.31</v>
      </c>
      <c r="O200" s="19">
        <v>0.20860000000000001</v>
      </c>
      <c r="P200" s="16" t="s">
        <v>80</v>
      </c>
    </row>
    <row r="201" spans="1:16" x14ac:dyDescent="0.3">
      <c r="A201" s="20" t="s">
        <v>337</v>
      </c>
      <c r="B201" s="21">
        <v>45573</v>
      </c>
      <c r="C201" s="20" t="s">
        <v>107</v>
      </c>
      <c r="D201" s="20" t="s">
        <v>57</v>
      </c>
      <c r="E201" s="20" t="s">
        <v>31</v>
      </c>
      <c r="F201" s="20" t="s">
        <v>208</v>
      </c>
      <c r="G201" s="20" t="s">
        <v>42</v>
      </c>
      <c r="H201" s="20" t="s">
        <v>148</v>
      </c>
      <c r="I201" s="20" t="s">
        <v>93</v>
      </c>
      <c r="J201" s="20">
        <v>13</v>
      </c>
      <c r="K201" s="22">
        <v>14650</v>
      </c>
      <c r="L201" s="22">
        <v>190450</v>
      </c>
      <c r="M201" s="22">
        <v>135729.94</v>
      </c>
      <c r="N201" s="22">
        <v>54720.06</v>
      </c>
      <c r="O201" s="23">
        <v>0.2873</v>
      </c>
      <c r="P201" s="20" t="s">
        <v>80</v>
      </c>
    </row>
    <row r="202" spans="1:16" x14ac:dyDescent="0.3">
      <c r="A202" s="16" t="s">
        <v>338</v>
      </c>
      <c r="B202" s="17">
        <v>45577</v>
      </c>
      <c r="C202" s="16" t="s">
        <v>107</v>
      </c>
      <c r="D202" s="16" t="s">
        <v>57</v>
      </c>
      <c r="E202" s="16" t="s">
        <v>31</v>
      </c>
      <c r="F202" s="16" t="s">
        <v>95</v>
      </c>
      <c r="G202" s="16" t="s">
        <v>39</v>
      </c>
      <c r="H202" s="16" t="s">
        <v>87</v>
      </c>
      <c r="I202" s="16" t="s">
        <v>112</v>
      </c>
      <c r="J202" s="16">
        <v>2</v>
      </c>
      <c r="K202" s="18">
        <v>680</v>
      </c>
      <c r="L202" s="18">
        <v>1360</v>
      </c>
      <c r="M202" s="18">
        <v>797.36</v>
      </c>
      <c r="N202" s="18">
        <v>562.64</v>
      </c>
      <c r="O202" s="19">
        <v>0.41370000000000001</v>
      </c>
      <c r="P202" s="16" t="s">
        <v>80</v>
      </c>
    </row>
    <row r="203" spans="1:16" x14ac:dyDescent="0.3">
      <c r="A203" s="20" t="s">
        <v>339</v>
      </c>
      <c r="B203" s="21">
        <v>45534</v>
      </c>
      <c r="C203" s="20" t="s">
        <v>90</v>
      </c>
      <c r="D203" s="20" t="s">
        <v>56</v>
      </c>
      <c r="E203" s="20" t="s">
        <v>33</v>
      </c>
      <c r="F203" s="20" t="s">
        <v>83</v>
      </c>
      <c r="G203" s="20" t="s">
        <v>39</v>
      </c>
      <c r="H203" s="20" t="s">
        <v>92</v>
      </c>
      <c r="I203" s="20" t="s">
        <v>85</v>
      </c>
      <c r="J203" s="20">
        <v>11</v>
      </c>
      <c r="K203" s="22">
        <v>4690</v>
      </c>
      <c r="L203" s="22">
        <v>51590</v>
      </c>
      <c r="M203" s="22">
        <v>30115.65</v>
      </c>
      <c r="N203" s="22">
        <v>21474.35</v>
      </c>
      <c r="O203" s="23">
        <v>0.4163</v>
      </c>
      <c r="P203" s="20" t="s">
        <v>80</v>
      </c>
    </row>
    <row r="204" spans="1:16" x14ac:dyDescent="0.3">
      <c r="A204" s="16" t="s">
        <v>340</v>
      </c>
      <c r="B204" s="17">
        <v>45445</v>
      </c>
      <c r="C204" s="16" t="s">
        <v>125</v>
      </c>
      <c r="D204" s="16" t="s">
        <v>55</v>
      </c>
      <c r="E204" s="16" t="s">
        <v>33</v>
      </c>
      <c r="F204" s="16" t="s">
        <v>83</v>
      </c>
      <c r="G204" s="16" t="s">
        <v>42</v>
      </c>
      <c r="H204" s="16" t="s">
        <v>133</v>
      </c>
      <c r="I204" s="16" t="s">
        <v>88</v>
      </c>
      <c r="J204" s="16">
        <v>1</v>
      </c>
      <c r="K204" s="18">
        <v>5060</v>
      </c>
      <c r="L204" s="18">
        <v>5060</v>
      </c>
      <c r="M204" s="18">
        <v>3608.61</v>
      </c>
      <c r="N204" s="18">
        <v>1451.39</v>
      </c>
      <c r="O204" s="19">
        <v>0.2868</v>
      </c>
      <c r="P204" s="16" t="s">
        <v>80</v>
      </c>
    </row>
    <row r="205" spans="1:16" x14ac:dyDescent="0.3">
      <c r="A205" s="20" t="s">
        <v>341</v>
      </c>
      <c r="B205" s="21">
        <v>45505</v>
      </c>
      <c r="C205" s="20" t="s">
        <v>90</v>
      </c>
      <c r="D205" s="20" t="s">
        <v>56</v>
      </c>
      <c r="E205" s="20" t="s">
        <v>33</v>
      </c>
      <c r="F205" s="20" t="s">
        <v>83</v>
      </c>
      <c r="G205" s="20" t="s">
        <v>38</v>
      </c>
      <c r="H205" s="20" t="s">
        <v>119</v>
      </c>
      <c r="I205" s="20" t="s">
        <v>88</v>
      </c>
      <c r="J205" s="20">
        <v>19</v>
      </c>
      <c r="K205" s="22">
        <v>77530</v>
      </c>
      <c r="L205" s="22">
        <v>1473070</v>
      </c>
      <c r="M205" s="22">
        <v>1137558.51</v>
      </c>
      <c r="N205" s="22">
        <v>335511.49</v>
      </c>
      <c r="O205" s="23">
        <v>0.2278</v>
      </c>
      <c r="P205" s="20" t="s">
        <v>80</v>
      </c>
    </row>
    <row r="206" spans="1:16" x14ac:dyDescent="0.3">
      <c r="A206" s="16" t="s">
        <v>342</v>
      </c>
      <c r="B206" s="17">
        <v>45590</v>
      </c>
      <c r="C206" s="16" t="s">
        <v>107</v>
      </c>
      <c r="D206" s="16" t="s">
        <v>57</v>
      </c>
      <c r="E206" s="16" t="s">
        <v>32</v>
      </c>
      <c r="F206" s="16" t="s">
        <v>145</v>
      </c>
      <c r="G206" s="16" t="s">
        <v>42</v>
      </c>
      <c r="H206" s="16" t="s">
        <v>148</v>
      </c>
      <c r="I206" s="16" t="s">
        <v>146</v>
      </c>
      <c r="J206" s="16">
        <v>8</v>
      </c>
      <c r="K206" s="18">
        <v>12470</v>
      </c>
      <c r="L206" s="18">
        <v>99760</v>
      </c>
      <c r="M206" s="18">
        <v>74505.05</v>
      </c>
      <c r="N206" s="18">
        <v>25254.95</v>
      </c>
      <c r="O206" s="19">
        <v>0.25319999999999998</v>
      </c>
      <c r="P206" s="16" t="s">
        <v>80</v>
      </c>
    </row>
    <row r="207" spans="1:16" x14ac:dyDescent="0.3">
      <c r="A207" s="20" t="s">
        <v>343</v>
      </c>
      <c r="B207" s="21">
        <v>45348</v>
      </c>
      <c r="C207" s="20" t="s">
        <v>82</v>
      </c>
      <c r="D207" s="20" t="s">
        <v>53</v>
      </c>
      <c r="E207" s="20" t="s">
        <v>30</v>
      </c>
      <c r="F207" s="20" t="s">
        <v>126</v>
      </c>
      <c r="G207" s="20" t="s">
        <v>41</v>
      </c>
      <c r="H207" s="20" t="s">
        <v>96</v>
      </c>
      <c r="I207" s="20" t="s">
        <v>131</v>
      </c>
      <c r="J207" s="20">
        <v>7</v>
      </c>
      <c r="K207" s="22">
        <v>10120</v>
      </c>
      <c r="L207" s="22">
        <v>70840</v>
      </c>
      <c r="M207" s="22">
        <v>46680.89</v>
      </c>
      <c r="N207" s="22">
        <v>24159.11</v>
      </c>
      <c r="O207" s="23">
        <v>0.34100000000000003</v>
      </c>
      <c r="P207" s="20" t="s">
        <v>80</v>
      </c>
    </row>
    <row r="208" spans="1:16" x14ac:dyDescent="0.3">
      <c r="A208" s="16" t="s">
        <v>344</v>
      </c>
      <c r="B208" s="17">
        <v>45533</v>
      </c>
      <c r="C208" s="16" t="s">
        <v>90</v>
      </c>
      <c r="D208" s="16" t="s">
        <v>56</v>
      </c>
      <c r="E208" s="16" t="s">
        <v>29</v>
      </c>
      <c r="F208" s="16" t="s">
        <v>150</v>
      </c>
      <c r="G208" s="16" t="s">
        <v>39</v>
      </c>
      <c r="H208" s="16" t="s">
        <v>87</v>
      </c>
      <c r="I208" s="16" t="s">
        <v>79</v>
      </c>
      <c r="J208" s="16">
        <v>16</v>
      </c>
      <c r="K208" s="18">
        <v>1960</v>
      </c>
      <c r="L208" s="18">
        <v>31360</v>
      </c>
      <c r="M208" s="18">
        <v>17168.099999999999</v>
      </c>
      <c r="N208" s="18">
        <v>14191.9</v>
      </c>
      <c r="O208" s="19">
        <v>0.45250000000000001</v>
      </c>
      <c r="P208" s="16" t="s">
        <v>80</v>
      </c>
    </row>
    <row r="209" spans="1:16" x14ac:dyDescent="0.3">
      <c r="A209" s="20" t="s">
        <v>345</v>
      </c>
      <c r="B209" s="21">
        <v>45380</v>
      </c>
      <c r="C209" s="20" t="s">
        <v>122</v>
      </c>
      <c r="D209" s="20" t="s">
        <v>53</v>
      </c>
      <c r="E209" s="20" t="s">
        <v>32</v>
      </c>
      <c r="F209" s="20" t="s">
        <v>139</v>
      </c>
      <c r="G209" s="20" t="s">
        <v>40</v>
      </c>
      <c r="H209" s="20" t="s">
        <v>102</v>
      </c>
      <c r="I209" s="20" t="s">
        <v>146</v>
      </c>
      <c r="J209" s="20">
        <v>7</v>
      </c>
      <c r="K209" s="22">
        <v>1300</v>
      </c>
      <c r="L209" s="22">
        <v>9100</v>
      </c>
      <c r="M209" s="22">
        <v>7045.82</v>
      </c>
      <c r="N209" s="22">
        <v>2054.1799999999998</v>
      </c>
      <c r="O209" s="23">
        <v>0.22570000000000001</v>
      </c>
      <c r="P209" s="20" t="s">
        <v>80</v>
      </c>
    </row>
    <row r="210" spans="1:16" x14ac:dyDescent="0.3">
      <c r="A210" s="16" t="s">
        <v>346</v>
      </c>
      <c r="B210" s="17">
        <v>45444</v>
      </c>
      <c r="C210" s="16" t="s">
        <v>125</v>
      </c>
      <c r="D210" s="16" t="s">
        <v>55</v>
      </c>
      <c r="E210" s="16" t="s">
        <v>30</v>
      </c>
      <c r="F210" s="16" t="s">
        <v>158</v>
      </c>
      <c r="G210" s="16" t="s">
        <v>40</v>
      </c>
      <c r="H210" s="16" t="s">
        <v>159</v>
      </c>
      <c r="I210" s="16" t="s">
        <v>109</v>
      </c>
      <c r="J210" s="16">
        <v>12</v>
      </c>
      <c r="K210" s="18">
        <v>770</v>
      </c>
      <c r="L210" s="18">
        <v>9240</v>
      </c>
      <c r="M210" s="18">
        <v>7520.91</v>
      </c>
      <c r="N210" s="18">
        <v>1719.09</v>
      </c>
      <c r="O210" s="19">
        <v>0.186</v>
      </c>
      <c r="P210" s="16" t="s">
        <v>80</v>
      </c>
    </row>
    <row r="211" spans="1:16" x14ac:dyDescent="0.3">
      <c r="A211" s="20" t="s">
        <v>347</v>
      </c>
      <c r="B211" s="21">
        <v>45432</v>
      </c>
      <c r="C211" s="20" t="s">
        <v>13</v>
      </c>
      <c r="D211" s="20" t="s">
        <v>55</v>
      </c>
      <c r="E211" s="20" t="s">
        <v>31</v>
      </c>
      <c r="F211" s="20" t="s">
        <v>95</v>
      </c>
      <c r="G211" s="20" t="s">
        <v>42</v>
      </c>
      <c r="H211" s="20" t="s">
        <v>187</v>
      </c>
      <c r="I211" s="20" t="s">
        <v>112</v>
      </c>
      <c r="J211" s="20">
        <v>5</v>
      </c>
      <c r="K211" s="22">
        <v>12420</v>
      </c>
      <c r="L211" s="22">
        <v>62100</v>
      </c>
      <c r="M211" s="22">
        <v>44771.29</v>
      </c>
      <c r="N211" s="22">
        <v>17328.71</v>
      </c>
      <c r="O211" s="23">
        <v>0.27900000000000003</v>
      </c>
      <c r="P211" s="20" t="s">
        <v>80</v>
      </c>
    </row>
    <row r="212" spans="1:16" x14ac:dyDescent="0.3">
      <c r="A212" s="16" t="s">
        <v>348</v>
      </c>
      <c r="B212" s="17">
        <v>45332</v>
      </c>
      <c r="C212" s="16" t="s">
        <v>82</v>
      </c>
      <c r="D212" s="16" t="s">
        <v>53</v>
      </c>
      <c r="E212" s="16" t="s">
        <v>31</v>
      </c>
      <c r="F212" s="16" t="s">
        <v>91</v>
      </c>
      <c r="G212" s="16" t="s">
        <v>40</v>
      </c>
      <c r="H212" s="16" t="s">
        <v>78</v>
      </c>
      <c r="I212" s="16" t="s">
        <v>112</v>
      </c>
      <c r="J212" s="16">
        <v>18</v>
      </c>
      <c r="K212" s="18">
        <v>560</v>
      </c>
      <c r="L212" s="18">
        <v>10080</v>
      </c>
      <c r="M212" s="18">
        <v>8496.2999999999993</v>
      </c>
      <c r="N212" s="18">
        <v>1583.7</v>
      </c>
      <c r="O212" s="19">
        <v>0.15709999999999999</v>
      </c>
      <c r="P212" s="16" t="s">
        <v>80</v>
      </c>
    </row>
    <row r="213" spans="1:16" x14ac:dyDescent="0.3">
      <c r="A213" s="20" t="s">
        <v>349</v>
      </c>
      <c r="B213" s="21">
        <v>45431</v>
      </c>
      <c r="C213" s="20" t="s">
        <v>13</v>
      </c>
      <c r="D213" s="20" t="s">
        <v>55</v>
      </c>
      <c r="E213" s="20" t="s">
        <v>30</v>
      </c>
      <c r="F213" s="20" t="s">
        <v>126</v>
      </c>
      <c r="G213" s="20" t="s">
        <v>42</v>
      </c>
      <c r="H213" s="20" t="s">
        <v>148</v>
      </c>
      <c r="I213" s="20" t="s">
        <v>109</v>
      </c>
      <c r="J213" s="20">
        <v>17</v>
      </c>
      <c r="K213" s="22">
        <v>1520</v>
      </c>
      <c r="L213" s="22">
        <v>25840</v>
      </c>
      <c r="M213" s="22">
        <v>18796.86</v>
      </c>
      <c r="N213" s="22">
        <v>7043.14</v>
      </c>
      <c r="O213" s="23">
        <v>0.27260000000000001</v>
      </c>
      <c r="P213" s="20" t="s">
        <v>80</v>
      </c>
    </row>
    <row r="214" spans="1:16" x14ac:dyDescent="0.3">
      <c r="A214" s="16" t="s">
        <v>350</v>
      </c>
      <c r="B214" s="17">
        <v>45343</v>
      </c>
      <c r="C214" s="16" t="s">
        <v>82</v>
      </c>
      <c r="D214" s="16" t="s">
        <v>53</v>
      </c>
      <c r="E214" s="16" t="s">
        <v>32</v>
      </c>
      <c r="F214" s="16" t="s">
        <v>177</v>
      </c>
      <c r="G214" s="16" t="s">
        <v>41</v>
      </c>
      <c r="H214" s="16" t="s">
        <v>169</v>
      </c>
      <c r="I214" s="16" t="s">
        <v>140</v>
      </c>
      <c r="J214" s="16">
        <v>18</v>
      </c>
      <c r="K214" s="18">
        <v>3240</v>
      </c>
      <c r="L214" s="18">
        <v>58320</v>
      </c>
      <c r="M214" s="18">
        <v>35120.82</v>
      </c>
      <c r="N214" s="18">
        <v>23199.18</v>
      </c>
      <c r="O214" s="19">
        <v>0.39779999999999999</v>
      </c>
      <c r="P214" s="16" t="s">
        <v>80</v>
      </c>
    </row>
    <row r="215" spans="1:16" x14ac:dyDescent="0.3">
      <c r="A215" s="20" t="s">
        <v>351</v>
      </c>
      <c r="B215" s="21">
        <v>45626</v>
      </c>
      <c r="C215" s="20" t="s">
        <v>76</v>
      </c>
      <c r="D215" s="20" t="s">
        <v>57</v>
      </c>
      <c r="E215" s="20" t="s">
        <v>32</v>
      </c>
      <c r="F215" s="20" t="s">
        <v>177</v>
      </c>
      <c r="G215" s="20" t="s">
        <v>39</v>
      </c>
      <c r="H215" s="20" t="s">
        <v>92</v>
      </c>
      <c r="I215" s="20" t="s">
        <v>146</v>
      </c>
      <c r="J215" s="20">
        <v>2</v>
      </c>
      <c r="K215" s="22">
        <v>1780</v>
      </c>
      <c r="L215" s="22">
        <v>3560</v>
      </c>
      <c r="M215" s="22">
        <v>1812.77</v>
      </c>
      <c r="N215" s="22">
        <v>1747.23</v>
      </c>
      <c r="O215" s="23">
        <v>0.49080000000000001</v>
      </c>
      <c r="P215" s="20" t="s">
        <v>80</v>
      </c>
    </row>
    <row r="216" spans="1:16" x14ac:dyDescent="0.3">
      <c r="A216" s="16" t="s">
        <v>352</v>
      </c>
      <c r="B216" s="17">
        <v>45585</v>
      </c>
      <c r="C216" s="16" t="s">
        <v>107</v>
      </c>
      <c r="D216" s="16" t="s">
        <v>57</v>
      </c>
      <c r="E216" s="16" t="s">
        <v>30</v>
      </c>
      <c r="F216" s="16" t="s">
        <v>108</v>
      </c>
      <c r="G216" s="16" t="s">
        <v>38</v>
      </c>
      <c r="H216" s="16" t="s">
        <v>123</v>
      </c>
      <c r="I216" s="16" t="s">
        <v>109</v>
      </c>
      <c r="J216" s="16">
        <v>6</v>
      </c>
      <c r="K216" s="18">
        <v>71170</v>
      </c>
      <c r="L216" s="18">
        <v>427020</v>
      </c>
      <c r="M216" s="18">
        <v>314546.24</v>
      </c>
      <c r="N216" s="18">
        <v>112473.76</v>
      </c>
      <c r="O216" s="19">
        <v>0.26340000000000002</v>
      </c>
      <c r="P216" s="16" t="s">
        <v>110</v>
      </c>
    </row>
    <row r="217" spans="1:16" x14ac:dyDescent="0.3">
      <c r="A217" s="20" t="s">
        <v>353</v>
      </c>
      <c r="B217" s="21">
        <v>45495</v>
      </c>
      <c r="C217" s="20" t="s">
        <v>98</v>
      </c>
      <c r="D217" s="20" t="s">
        <v>56</v>
      </c>
      <c r="E217" s="20" t="s">
        <v>32</v>
      </c>
      <c r="F217" s="20" t="s">
        <v>145</v>
      </c>
      <c r="G217" s="20" t="s">
        <v>40</v>
      </c>
      <c r="H217" s="20" t="s">
        <v>151</v>
      </c>
      <c r="I217" s="20" t="s">
        <v>140</v>
      </c>
      <c r="J217" s="20">
        <v>20</v>
      </c>
      <c r="K217" s="22">
        <v>740</v>
      </c>
      <c r="L217" s="22">
        <v>14800</v>
      </c>
      <c r="M217" s="22">
        <v>12717.19</v>
      </c>
      <c r="N217" s="22">
        <v>2082.81</v>
      </c>
      <c r="O217" s="23">
        <v>0.14069999999999999</v>
      </c>
      <c r="P217" s="20" t="s">
        <v>80</v>
      </c>
    </row>
    <row r="218" spans="1:16" x14ac:dyDescent="0.3">
      <c r="A218" s="16" t="s">
        <v>354</v>
      </c>
      <c r="B218" s="17">
        <v>45437</v>
      </c>
      <c r="C218" s="16" t="s">
        <v>13</v>
      </c>
      <c r="D218" s="16" t="s">
        <v>55</v>
      </c>
      <c r="E218" s="16" t="s">
        <v>32</v>
      </c>
      <c r="F218" s="16" t="s">
        <v>139</v>
      </c>
      <c r="G218" s="16" t="s">
        <v>42</v>
      </c>
      <c r="H218" s="16" t="s">
        <v>148</v>
      </c>
      <c r="I218" s="16" t="s">
        <v>146</v>
      </c>
      <c r="J218" s="16">
        <v>15</v>
      </c>
      <c r="K218" s="18">
        <v>12890</v>
      </c>
      <c r="L218" s="18">
        <v>193350</v>
      </c>
      <c r="M218" s="18">
        <v>139737.20000000001</v>
      </c>
      <c r="N218" s="18">
        <v>53612.800000000003</v>
      </c>
      <c r="O218" s="19">
        <v>0.27729999999999999</v>
      </c>
      <c r="P218" s="16" t="s">
        <v>80</v>
      </c>
    </row>
    <row r="219" spans="1:16" x14ac:dyDescent="0.3">
      <c r="A219" s="20" t="s">
        <v>355</v>
      </c>
      <c r="B219" s="21">
        <v>45461</v>
      </c>
      <c r="C219" s="20" t="s">
        <v>125</v>
      </c>
      <c r="D219" s="20" t="s">
        <v>55</v>
      </c>
      <c r="E219" s="20" t="s">
        <v>30</v>
      </c>
      <c r="F219" s="20" t="s">
        <v>108</v>
      </c>
      <c r="G219" s="20" t="s">
        <v>41</v>
      </c>
      <c r="H219" s="20" t="s">
        <v>169</v>
      </c>
      <c r="I219" s="20" t="s">
        <v>131</v>
      </c>
      <c r="J219" s="20">
        <v>11</v>
      </c>
      <c r="K219" s="22">
        <v>3660</v>
      </c>
      <c r="L219" s="22">
        <v>40260</v>
      </c>
      <c r="M219" s="22">
        <v>24998.37</v>
      </c>
      <c r="N219" s="22">
        <v>15261.63</v>
      </c>
      <c r="O219" s="23">
        <v>0.37909999999999999</v>
      </c>
      <c r="P219" s="20" t="s">
        <v>80</v>
      </c>
    </row>
    <row r="220" spans="1:16" x14ac:dyDescent="0.3">
      <c r="A220" s="16" t="s">
        <v>356</v>
      </c>
      <c r="B220" s="17">
        <v>45390</v>
      </c>
      <c r="C220" s="16" t="s">
        <v>142</v>
      </c>
      <c r="D220" s="16" t="s">
        <v>55</v>
      </c>
      <c r="E220" s="16" t="s">
        <v>30</v>
      </c>
      <c r="F220" s="16" t="s">
        <v>108</v>
      </c>
      <c r="G220" s="16" t="s">
        <v>41</v>
      </c>
      <c r="H220" s="16" t="s">
        <v>178</v>
      </c>
      <c r="I220" s="16" t="s">
        <v>131</v>
      </c>
      <c r="J220" s="16">
        <v>13</v>
      </c>
      <c r="K220" s="18">
        <v>18410</v>
      </c>
      <c r="L220" s="18">
        <v>239330</v>
      </c>
      <c r="M220" s="18">
        <v>151513.70000000001</v>
      </c>
      <c r="N220" s="18">
        <v>87816.3</v>
      </c>
      <c r="O220" s="19">
        <v>0.3669</v>
      </c>
      <c r="P220" s="16" t="s">
        <v>80</v>
      </c>
    </row>
    <row r="221" spans="1:16" x14ac:dyDescent="0.3">
      <c r="A221" s="20" t="s">
        <v>357</v>
      </c>
      <c r="B221" s="21">
        <v>45363</v>
      </c>
      <c r="C221" s="20" t="s">
        <v>122</v>
      </c>
      <c r="D221" s="20" t="s">
        <v>53</v>
      </c>
      <c r="E221" s="20" t="s">
        <v>32</v>
      </c>
      <c r="F221" s="20" t="s">
        <v>177</v>
      </c>
      <c r="G221" s="20" t="s">
        <v>39</v>
      </c>
      <c r="H221" s="20" t="s">
        <v>92</v>
      </c>
      <c r="I221" s="20" t="s">
        <v>140</v>
      </c>
      <c r="J221" s="20">
        <v>15</v>
      </c>
      <c r="K221" s="22">
        <v>2230</v>
      </c>
      <c r="L221" s="22">
        <v>33450</v>
      </c>
      <c r="M221" s="22">
        <v>17548.68</v>
      </c>
      <c r="N221" s="22">
        <v>15901.32</v>
      </c>
      <c r="O221" s="23">
        <v>0.47539999999999999</v>
      </c>
      <c r="P221" s="20" t="s">
        <v>80</v>
      </c>
    </row>
    <row r="222" spans="1:16" x14ac:dyDescent="0.3">
      <c r="A222" s="16" t="s">
        <v>358</v>
      </c>
      <c r="B222" s="17">
        <v>45446</v>
      </c>
      <c r="C222" s="16" t="s">
        <v>125</v>
      </c>
      <c r="D222" s="16" t="s">
        <v>55</v>
      </c>
      <c r="E222" s="16" t="s">
        <v>33</v>
      </c>
      <c r="F222" s="16" t="s">
        <v>104</v>
      </c>
      <c r="G222" s="16" t="s">
        <v>42</v>
      </c>
      <c r="H222" s="16" t="s">
        <v>114</v>
      </c>
      <c r="I222" s="16" t="s">
        <v>85</v>
      </c>
      <c r="J222" s="16">
        <v>8</v>
      </c>
      <c r="K222" s="18">
        <v>10080</v>
      </c>
      <c r="L222" s="18">
        <v>80640</v>
      </c>
      <c r="M222" s="18">
        <v>59979.03</v>
      </c>
      <c r="N222" s="18">
        <v>20660.97</v>
      </c>
      <c r="O222" s="19">
        <v>0.25619999999999998</v>
      </c>
      <c r="P222" s="16" t="s">
        <v>80</v>
      </c>
    </row>
    <row r="223" spans="1:16" x14ac:dyDescent="0.3">
      <c r="A223" s="20" t="s">
        <v>359</v>
      </c>
      <c r="B223" s="21">
        <v>45449</v>
      </c>
      <c r="C223" s="20" t="s">
        <v>125</v>
      </c>
      <c r="D223" s="20" t="s">
        <v>55</v>
      </c>
      <c r="E223" s="20" t="s">
        <v>30</v>
      </c>
      <c r="F223" s="20" t="s">
        <v>158</v>
      </c>
      <c r="G223" s="20" t="s">
        <v>42</v>
      </c>
      <c r="H223" s="20" t="s">
        <v>156</v>
      </c>
      <c r="I223" s="20" t="s">
        <v>131</v>
      </c>
      <c r="J223" s="20">
        <v>10</v>
      </c>
      <c r="K223" s="22">
        <v>9870</v>
      </c>
      <c r="L223" s="22">
        <v>98700</v>
      </c>
      <c r="M223" s="22">
        <v>70397.34</v>
      </c>
      <c r="N223" s="22">
        <v>28302.66</v>
      </c>
      <c r="O223" s="23">
        <v>0.2868</v>
      </c>
      <c r="P223" s="20" t="s">
        <v>80</v>
      </c>
    </row>
    <row r="224" spans="1:16" x14ac:dyDescent="0.3">
      <c r="A224" s="16" t="s">
        <v>360</v>
      </c>
      <c r="B224" s="17">
        <v>45360</v>
      </c>
      <c r="C224" s="16" t="s">
        <v>122</v>
      </c>
      <c r="D224" s="16" t="s">
        <v>53</v>
      </c>
      <c r="E224" s="16" t="s">
        <v>32</v>
      </c>
      <c r="F224" s="16" t="s">
        <v>145</v>
      </c>
      <c r="G224" s="16" t="s">
        <v>41</v>
      </c>
      <c r="H224" s="16" t="s">
        <v>96</v>
      </c>
      <c r="I224" s="16" t="s">
        <v>146</v>
      </c>
      <c r="J224" s="16">
        <v>16</v>
      </c>
      <c r="K224" s="18">
        <v>35990</v>
      </c>
      <c r="L224" s="18">
        <v>575840</v>
      </c>
      <c r="M224" s="18">
        <v>359476.73</v>
      </c>
      <c r="N224" s="18">
        <v>216363.27</v>
      </c>
      <c r="O224" s="19">
        <v>0.37569999999999998</v>
      </c>
      <c r="P224" s="16" t="s">
        <v>80</v>
      </c>
    </row>
    <row r="225" spans="1:16" x14ac:dyDescent="0.3">
      <c r="A225" s="20" t="s">
        <v>361</v>
      </c>
      <c r="B225" s="21">
        <v>45403</v>
      </c>
      <c r="C225" s="20" t="s">
        <v>142</v>
      </c>
      <c r="D225" s="20" t="s">
        <v>55</v>
      </c>
      <c r="E225" s="20" t="s">
        <v>30</v>
      </c>
      <c r="F225" s="20" t="s">
        <v>108</v>
      </c>
      <c r="G225" s="20" t="s">
        <v>42</v>
      </c>
      <c r="H225" s="20" t="s">
        <v>133</v>
      </c>
      <c r="I225" s="20" t="s">
        <v>109</v>
      </c>
      <c r="J225" s="20">
        <v>12</v>
      </c>
      <c r="K225" s="22">
        <v>7140</v>
      </c>
      <c r="L225" s="22">
        <v>85680</v>
      </c>
      <c r="M225" s="22">
        <v>63590.82</v>
      </c>
      <c r="N225" s="22">
        <v>22089.18</v>
      </c>
      <c r="O225" s="23">
        <v>0.25779999999999997</v>
      </c>
      <c r="P225" s="20" t="s">
        <v>80</v>
      </c>
    </row>
    <row r="226" spans="1:16" x14ac:dyDescent="0.3">
      <c r="A226" s="16" t="s">
        <v>362</v>
      </c>
      <c r="B226" s="17">
        <v>45323</v>
      </c>
      <c r="C226" s="16" t="s">
        <v>82</v>
      </c>
      <c r="D226" s="16" t="s">
        <v>53</v>
      </c>
      <c r="E226" s="16" t="s">
        <v>33</v>
      </c>
      <c r="F226" s="16" t="s">
        <v>104</v>
      </c>
      <c r="G226" s="16" t="s">
        <v>39</v>
      </c>
      <c r="H226" s="16" t="s">
        <v>105</v>
      </c>
      <c r="I226" s="16" t="s">
        <v>85</v>
      </c>
      <c r="J226" s="16">
        <v>17</v>
      </c>
      <c r="K226" s="18">
        <v>1980</v>
      </c>
      <c r="L226" s="18">
        <v>33660</v>
      </c>
      <c r="M226" s="18">
        <v>18708.759999999998</v>
      </c>
      <c r="N226" s="18">
        <v>14951.24</v>
      </c>
      <c r="O226" s="19">
        <v>0.44419999999999998</v>
      </c>
      <c r="P226" s="16" t="s">
        <v>80</v>
      </c>
    </row>
    <row r="227" spans="1:16" x14ac:dyDescent="0.3">
      <c r="A227" s="20" t="s">
        <v>363</v>
      </c>
      <c r="B227" s="21">
        <v>45590</v>
      </c>
      <c r="C227" s="20" t="s">
        <v>107</v>
      </c>
      <c r="D227" s="20" t="s">
        <v>57</v>
      </c>
      <c r="E227" s="20" t="s">
        <v>32</v>
      </c>
      <c r="F227" s="20" t="s">
        <v>145</v>
      </c>
      <c r="G227" s="20" t="s">
        <v>42</v>
      </c>
      <c r="H227" s="20" t="s">
        <v>156</v>
      </c>
      <c r="I227" s="20" t="s">
        <v>146</v>
      </c>
      <c r="J227" s="20">
        <v>17</v>
      </c>
      <c r="K227" s="22">
        <v>7240</v>
      </c>
      <c r="L227" s="22">
        <v>123080</v>
      </c>
      <c r="M227" s="22">
        <v>87196.95</v>
      </c>
      <c r="N227" s="22">
        <v>35883.050000000003</v>
      </c>
      <c r="O227" s="23">
        <v>0.29149999999999998</v>
      </c>
      <c r="P227" s="20" t="s">
        <v>80</v>
      </c>
    </row>
    <row r="228" spans="1:16" x14ac:dyDescent="0.3">
      <c r="A228" s="16" t="s">
        <v>364</v>
      </c>
      <c r="B228" s="17">
        <v>45578</v>
      </c>
      <c r="C228" s="16" t="s">
        <v>107</v>
      </c>
      <c r="D228" s="16" t="s">
        <v>57</v>
      </c>
      <c r="E228" s="16" t="s">
        <v>32</v>
      </c>
      <c r="F228" s="16" t="s">
        <v>139</v>
      </c>
      <c r="G228" s="16" t="s">
        <v>40</v>
      </c>
      <c r="H228" s="16" t="s">
        <v>159</v>
      </c>
      <c r="I228" s="16" t="s">
        <v>140</v>
      </c>
      <c r="J228" s="16">
        <v>1</v>
      </c>
      <c r="K228" s="18">
        <v>660</v>
      </c>
      <c r="L228" s="18">
        <v>660</v>
      </c>
      <c r="M228" s="18">
        <v>524.98</v>
      </c>
      <c r="N228" s="18">
        <v>135.02000000000001</v>
      </c>
      <c r="O228" s="19">
        <v>0.2046</v>
      </c>
      <c r="P228" s="16" t="s">
        <v>80</v>
      </c>
    </row>
    <row r="229" spans="1:16" x14ac:dyDescent="0.3">
      <c r="A229" s="20" t="s">
        <v>365</v>
      </c>
      <c r="B229" s="21">
        <v>45315</v>
      </c>
      <c r="C229" s="20" t="s">
        <v>116</v>
      </c>
      <c r="D229" s="20" t="s">
        <v>53</v>
      </c>
      <c r="E229" s="20" t="s">
        <v>32</v>
      </c>
      <c r="F229" s="20" t="s">
        <v>177</v>
      </c>
      <c r="G229" s="20" t="s">
        <v>38</v>
      </c>
      <c r="H229" s="20" t="s">
        <v>84</v>
      </c>
      <c r="I229" s="20" t="s">
        <v>140</v>
      </c>
      <c r="J229" s="20">
        <v>16</v>
      </c>
      <c r="K229" s="22">
        <v>78960</v>
      </c>
      <c r="L229" s="22">
        <v>1263360</v>
      </c>
      <c r="M229" s="22">
        <v>1044579.54</v>
      </c>
      <c r="N229" s="22">
        <v>218780.46</v>
      </c>
      <c r="O229" s="23">
        <v>0.17319999999999999</v>
      </c>
      <c r="P229" s="20" t="s">
        <v>80</v>
      </c>
    </row>
    <row r="230" spans="1:16" x14ac:dyDescent="0.3">
      <c r="A230" s="16" t="s">
        <v>366</v>
      </c>
      <c r="B230" s="17">
        <v>45361</v>
      </c>
      <c r="C230" s="16" t="s">
        <v>122</v>
      </c>
      <c r="D230" s="16" t="s">
        <v>53</v>
      </c>
      <c r="E230" s="16" t="s">
        <v>32</v>
      </c>
      <c r="F230" s="16" t="s">
        <v>177</v>
      </c>
      <c r="G230" s="16" t="s">
        <v>41</v>
      </c>
      <c r="H230" s="16" t="s">
        <v>96</v>
      </c>
      <c r="I230" s="16" t="s">
        <v>146</v>
      </c>
      <c r="J230" s="16">
        <v>18</v>
      </c>
      <c r="K230" s="18">
        <v>20660</v>
      </c>
      <c r="L230" s="18">
        <v>371880</v>
      </c>
      <c r="M230" s="18">
        <v>255370.38</v>
      </c>
      <c r="N230" s="18">
        <v>116509.62</v>
      </c>
      <c r="O230" s="19">
        <v>0.31330000000000002</v>
      </c>
      <c r="P230" s="16" t="s">
        <v>80</v>
      </c>
    </row>
    <row r="231" spans="1:16" x14ac:dyDescent="0.3">
      <c r="A231" s="20" t="s">
        <v>367</v>
      </c>
      <c r="B231" s="21">
        <v>45352</v>
      </c>
      <c r="C231" s="20" t="s">
        <v>122</v>
      </c>
      <c r="D231" s="20" t="s">
        <v>53</v>
      </c>
      <c r="E231" s="20" t="s">
        <v>30</v>
      </c>
      <c r="F231" s="20" t="s">
        <v>108</v>
      </c>
      <c r="G231" s="20" t="s">
        <v>41</v>
      </c>
      <c r="H231" s="20" t="s">
        <v>169</v>
      </c>
      <c r="I231" s="20" t="s">
        <v>109</v>
      </c>
      <c r="J231" s="20">
        <v>1</v>
      </c>
      <c r="K231" s="22">
        <v>42240</v>
      </c>
      <c r="L231" s="22">
        <v>42240</v>
      </c>
      <c r="M231" s="22">
        <v>25434.86</v>
      </c>
      <c r="N231" s="22">
        <v>16805.14</v>
      </c>
      <c r="O231" s="23">
        <v>0.39779999999999999</v>
      </c>
      <c r="P231" s="20" t="s">
        <v>80</v>
      </c>
    </row>
    <row r="232" spans="1:16" x14ac:dyDescent="0.3">
      <c r="A232" s="16" t="s">
        <v>368</v>
      </c>
      <c r="B232" s="17">
        <v>45570</v>
      </c>
      <c r="C232" s="16" t="s">
        <v>107</v>
      </c>
      <c r="D232" s="16" t="s">
        <v>57</v>
      </c>
      <c r="E232" s="16" t="s">
        <v>32</v>
      </c>
      <c r="F232" s="16" t="s">
        <v>139</v>
      </c>
      <c r="G232" s="16" t="s">
        <v>41</v>
      </c>
      <c r="H232" s="16" t="s">
        <v>169</v>
      </c>
      <c r="I232" s="16" t="s">
        <v>140</v>
      </c>
      <c r="J232" s="16">
        <v>5</v>
      </c>
      <c r="K232" s="18">
        <v>24650</v>
      </c>
      <c r="L232" s="18">
        <v>123250</v>
      </c>
      <c r="M232" s="18">
        <v>82877.62</v>
      </c>
      <c r="N232" s="18">
        <v>40372.379999999997</v>
      </c>
      <c r="O232" s="19">
        <v>0.3276</v>
      </c>
      <c r="P232" s="16" t="s">
        <v>80</v>
      </c>
    </row>
    <row r="233" spans="1:16" x14ac:dyDescent="0.3">
      <c r="A233" s="20" t="s">
        <v>369</v>
      </c>
      <c r="B233" s="21">
        <v>45349</v>
      </c>
      <c r="C233" s="20" t="s">
        <v>82</v>
      </c>
      <c r="D233" s="20" t="s">
        <v>53</v>
      </c>
      <c r="E233" s="20" t="s">
        <v>29</v>
      </c>
      <c r="F233" s="20" t="s">
        <v>150</v>
      </c>
      <c r="G233" s="20" t="s">
        <v>41</v>
      </c>
      <c r="H233" s="20" t="s">
        <v>169</v>
      </c>
      <c r="I233" s="20" t="s">
        <v>79</v>
      </c>
      <c r="J233" s="20">
        <v>4</v>
      </c>
      <c r="K233" s="22">
        <v>12690</v>
      </c>
      <c r="L233" s="22">
        <v>50760</v>
      </c>
      <c r="M233" s="22">
        <v>32517.14</v>
      </c>
      <c r="N233" s="22">
        <v>18242.86</v>
      </c>
      <c r="O233" s="23">
        <v>0.3594</v>
      </c>
      <c r="P233" s="20" t="s">
        <v>80</v>
      </c>
    </row>
    <row r="234" spans="1:16" x14ac:dyDescent="0.3">
      <c r="A234" s="16" t="s">
        <v>370</v>
      </c>
      <c r="B234" s="17">
        <v>45636</v>
      </c>
      <c r="C234" s="16" t="s">
        <v>175</v>
      </c>
      <c r="D234" s="16" t="s">
        <v>57</v>
      </c>
      <c r="E234" s="16" t="s">
        <v>29</v>
      </c>
      <c r="F234" s="16" t="s">
        <v>77</v>
      </c>
      <c r="G234" s="16" t="s">
        <v>38</v>
      </c>
      <c r="H234" s="16" t="s">
        <v>123</v>
      </c>
      <c r="I234" s="16" t="s">
        <v>117</v>
      </c>
      <c r="J234" s="16">
        <v>7</v>
      </c>
      <c r="K234" s="18">
        <v>22580</v>
      </c>
      <c r="L234" s="18">
        <v>158060</v>
      </c>
      <c r="M234" s="18">
        <v>119265.98</v>
      </c>
      <c r="N234" s="18">
        <v>38794.019999999997</v>
      </c>
      <c r="O234" s="19">
        <v>0.24540000000000001</v>
      </c>
      <c r="P234" s="16" t="s">
        <v>80</v>
      </c>
    </row>
    <row r="235" spans="1:16" x14ac:dyDescent="0.3">
      <c r="A235" s="20" t="s">
        <v>371</v>
      </c>
      <c r="B235" s="21">
        <v>45363</v>
      </c>
      <c r="C235" s="20" t="s">
        <v>122</v>
      </c>
      <c r="D235" s="20" t="s">
        <v>53</v>
      </c>
      <c r="E235" s="20" t="s">
        <v>33</v>
      </c>
      <c r="F235" s="20" t="s">
        <v>83</v>
      </c>
      <c r="G235" s="20" t="s">
        <v>39</v>
      </c>
      <c r="H235" s="20" t="s">
        <v>87</v>
      </c>
      <c r="I235" s="20" t="s">
        <v>88</v>
      </c>
      <c r="J235" s="20">
        <v>11</v>
      </c>
      <c r="K235" s="22">
        <v>3190</v>
      </c>
      <c r="L235" s="22">
        <v>35090</v>
      </c>
      <c r="M235" s="22">
        <v>20222.7</v>
      </c>
      <c r="N235" s="22">
        <v>14867.3</v>
      </c>
      <c r="O235" s="23">
        <v>0.42370000000000002</v>
      </c>
      <c r="P235" s="20" t="s">
        <v>80</v>
      </c>
    </row>
    <row r="236" spans="1:16" x14ac:dyDescent="0.3">
      <c r="A236" s="16" t="s">
        <v>372</v>
      </c>
      <c r="B236" s="17">
        <v>45630</v>
      </c>
      <c r="C236" s="16" t="s">
        <v>175</v>
      </c>
      <c r="D236" s="16" t="s">
        <v>57</v>
      </c>
      <c r="E236" s="16" t="s">
        <v>33</v>
      </c>
      <c r="F236" s="16" t="s">
        <v>99</v>
      </c>
      <c r="G236" s="16" t="s">
        <v>41</v>
      </c>
      <c r="H236" s="16" t="s">
        <v>129</v>
      </c>
      <c r="I236" s="16" t="s">
        <v>88</v>
      </c>
      <c r="J236" s="16">
        <v>19</v>
      </c>
      <c r="K236" s="18">
        <v>5870</v>
      </c>
      <c r="L236" s="18">
        <v>111530</v>
      </c>
      <c r="M236" s="18">
        <v>68259.55</v>
      </c>
      <c r="N236" s="18">
        <v>43270.45</v>
      </c>
      <c r="O236" s="19">
        <v>0.38800000000000001</v>
      </c>
      <c r="P236" s="16" t="s">
        <v>80</v>
      </c>
    </row>
    <row r="237" spans="1:16" x14ac:dyDescent="0.3">
      <c r="A237" s="20" t="s">
        <v>373</v>
      </c>
      <c r="B237" s="21">
        <v>45612</v>
      </c>
      <c r="C237" s="20" t="s">
        <v>76</v>
      </c>
      <c r="D237" s="20" t="s">
        <v>57</v>
      </c>
      <c r="E237" s="20" t="s">
        <v>32</v>
      </c>
      <c r="F237" s="20" t="s">
        <v>139</v>
      </c>
      <c r="G237" s="20" t="s">
        <v>41</v>
      </c>
      <c r="H237" s="20" t="s">
        <v>129</v>
      </c>
      <c r="I237" s="20" t="s">
        <v>140</v>
      </c>
      <c r="J237" s="20">
        <v>13</v>
      </c>
      <c r="K237" s="22">
        <v>47250</v>
      </c>
      <c r="L237" s="22">
        <v>614250</v>
      </c>
      <c r="M237" s="22">
        <v>381706.95</v>
      </c>
      <c r="N237" s="22">
        <v>232543.05</v>
      </c>
      <c r="O237" s="23">
        <v>0.37859999999999999</v>
      </c>
      <c r="P237" s="20" t="s">
        <v>80</v>
      </c>
    </row>
    <row r="238" spans="1:16" x14ac:dyDescent="0.3">
      <c r="A238" s="16" t="s">
        <v>374</v>
      </c>
      <c r="B238" s="17">
        <v>45505</v>
      </c>
      <c r="C238" s="16" t="s">
        <v>90</v>
      </c>
      <c r="D238" s="16" t="s">
        <v>56</v>
      </c>
      <c r="E238" s="16" t="s">
        <v>32</v>
      </c>
      <c r="F238" s="16" t="s">
        <v>145</v>
      </c>
      <c r="G238" s="16" t="s">
        <v>40</v>
      </c>
      <c r="H238" s="16" t="s">
        <v>78</v>
      </c>
      <c r="I238" s="16" t="s">
        <v>146</v>
      </c>
      <c r="J238" s="16">
        <v>16</v>
      </c>
      <c r="K238" s="18">
        <v>1560</v>
      </c>
      <c r="L238" s="18">
        <v>24960</v>
      </c>
      <c r="M238" s="18">
        <v>21113.74</v>
      </c>
      <c r="N238" s="18">
        <v>3846.26</v>
      </c>
      <c r="O238" s="19">
        <v>0.15409999999999999</v>
      </c>
      <c r="P238" s="16" t="s">
        <v>80</v>
      </c>
    </row>
    <row r="239" spans="1:16" x14ac:dyDescent="0.3">
      <c r="A239" s="20" t="s">
        <v>375</v>
      </c>
      <c r="B239" s="21">
        <v>45654</v>
      </c>
      <c r="C239" s="20" t="s">
        <v>175</v>
      </c>
      <c r="D239" s="20" t="s">
        <v>57</v>
      </c>
      <c r="E239" s="20" t="s">
        <v>30</v>
      </c>
      <c r="F239" s="20" t="s">
        <v>158</v>
      </c>
      <c r="G239" s="20" t="s">
        <v>38</v>
      </c>
      <c r="H239" s="20" t="s">
        <v>123</v>
      </c>
      <c r="I239" s="20" t="s">
        <v>131</v>
      </c>
      <c r="J239" s="20">
        <v>5</v>
      </c>
      <c r="K239" s="22">
        <v>46800</v>
      </c>
      <c r="L239" s="22">
        <v>234000</v>
      </c>
      <c r="M239" s="22">
        <v>185130.99</v>
      </c>
      <c r="N239" s="22">
        <v>48869.01</v>
      </c>
      <c r="O239" s="23">
        <v>0.20880000000000001</v>
      </c>
      <c r="P239" s="20" t="s">
        <v>80</v>
      </c>
    </row>
    <row r="240" spans="1:16" x14ac:dyDescent="0.3">
      <c r="A240" s="16" t="s">
        <v>376</v>
      </c>
      <c r="B240" s="17">
        <v>45461</v>
      </c>
      <c r="C240" s="16" t="s">
        <v>125</v>
      </c>
      <c r="D240" s="16" t="s">
        <v>55</v>
      </c>
      <c r="E240" s="16" t="s">
        <v>29</v>
      </c>
      <c r="F240" s="16" t="s">
        <v>135</v>
      </c>
      <c r="G240" s="16" t="s">
        <v>40</v>
      </c>
      <c r="H240" s="16" t="s">
        <v>180</v>
      </c>
      <c r="I240" s="16" t="s">
        <v>79</v>
      </c>
      <c r="J240" s="16">
        <v>7</v>
      </c>
      <c r="K240" s="18">
        <v>1500</v>
      </c>
      <c r="L240" s="18">
        <v>10500</v>
      </c>
      <c r="M240" s="18">
        <v>9080.89</v>
      </c>
      <c r="N240" s="18">
        <v>1419.11</v>
      </c>
      <c r="O240" s="19">
        <v>0.13519999999999999</v>
      </c>
      <c r="P240" s="16" t="s">
        <v>80</v>
      </c>
    </row>
    <row r="241" spans="1:16" x14ac:dyDescent="0.3">
      <c r="A241" s="20" t="s">
        <v>377</v>
      </c>
      <c r="B241" s="21">
        <v>45601</v>
      </c>
      <c r="C241" s="20" t="s">
        <v>76</v>
      </c>
      <c r="D241" s="20" t="s">
        <v>57</v>
      </c>
      <c r="E241" s="20" t="s">
        <v>33</v>
      </c>
      <c r="F241" s="20" t="s">
        <v>99</v>
      </c>
      <c r="G241" s="20" t="s">
        <v>38</v>
      </c>
      <c r="H241" s="20" t="s">
        <v>223</v>
      </c>
      <c r="I241" s="20" t="s">
        <v>85</v>
      </c>
      <c r="J241" s="20">
        <v>18</v>
      </c>
      <c r="K241" s="22">
        <v>59320</v>
      </c>
      <c r="L241" s="22">
        <v>1067760</v>
      </c>
      <c r="M241" s="22">
        <v>863068.64</v>
      </c>
      <c r="N241" s="22">
        <v>204691.36</v>
      </c>
      <c r="O241" s="23">
        <v>0.19170000000000001</v>
      </c>
      <c r="P241" s="20" t="s">
        <v>80</v>
      </c>
    </row>
    <row r="242" spans="1:16" x14ac:dyDescent="0.3">
      <c r="A242" s="16" t="s">
        <v>378</v>
      </c>
      <c r="B242" s="17">
        <v>45462</v>
      </c>
      <c r="C242" s="16" t="s">
        <v>125</v>
      </c>
      <c r="D242" s="16" t="s">
        <v>55</v>
      </c>
      <c r="E242" s="16" t="s">
        <v>31</v>
      </c>
      <c r="F242" s="16" t="s">
        <v>95</v>
      </c>
      <c r="G242" s="16" t="s">
        <v>39</v>
      </c>
      <c r="H242" s="16" t="s">
        <v>127</v>
      </c>
      <c r="I242" s="16" t="s">
        <v>93</v>
      </c>
      <c r="J242" s="16">
        <v>16</v>
      </c>
      <c r="K242" s="18">
        <v>3860</v>
      </c>
      <c r="L242" s="18">
        <v>61760</v>
      </c>
      <c r="M242" s="18">
        <v>31408.41</v>
      </c>
      <c r="N242" s="18">
        <v>30351.59</v>
      </c>
      <c r="O242" s="19">
        <v>0.4914</v>
      </c>
      <c r="P242" s="16" t="s">
        <v>80</v>
      </c>
    </row>
    <row r="243" spans="1:16" x14ac:dyDescent="0.3">
      <c r="A243" s="20" t="s">
        <v>379</v>
      </c>
      <c r="B243" s="21">
        <v>45652</v>
      </c>
      <c r="C243" s="20" t="s">
        <v>175</v>
      </c>
      <c r="D243" s="20" t="s">
        <v>57</v>
      </c>
      <c r="E243" s="20" t="s">
        <v>30</v>
      </c>
      <c r="F243" s="20" t="s">
        <v>158</v>
      </c>
      <c r="G243" s="20" t="s">
        <v>39</v>
      </c>
      <c r="H243" s="20" t="s">
        <v>92</v>
      </c>
      <c r="I243" s="20" t="s">
        <v>131</v>
      </c>
      <c r="J243" s="20">
        <v>18</v>
      </c>
      <c r="K243" s="22">
        <v>2210</v>
      </c>
      <c r="L243" s="22">
        <v>39780</v>
      </c>
      <c r="M243" s="22">
        <v>21287.39</v>
      </c>
      <c r="N243" s="22">
        <v>18492.61</v>
      </c>
      <c r="O243" s="23">
        <v>0.46489999999999998</v>
      </c>
      <c r="P243" s="20" t="s">
        <v>80</v>
      </c>
    </row>
    <row r="244" spans="1:16" x14ac:dyDescent="0.3">
      <c r="A244" s="16" t="s">
        <v>380</v>
      </c>
      <c r="B244" s="17">
        <v>45476</v>
      </c>
      <c r="C244" s="16" t="s">
        <v>98</v>
      </c>
      <c r="D244" s="16" t="s">
        <v>56</v>
      </c>
      <c r="E244" s="16" t="s">
        <v>33</v>
      </c>
      <c r="F244" s="16" t="s">
        <v>83</v>
      </c>
      <c r="G244" s="16" t="s">
        <v>41</v>
      </c>
      <c r="H244" s="16" t="s">
        <v>96</v>
      </c>
      <c r="I244" s="16" t="s">
        <v>85</v>
      </c>
      <c r="J244" s="16">
        <v>11</v>
      </c>
      <c r="K244" s="18">
        <v>38800</v>
      </c>
      <c r="L244" s="18">
        <v>426800</v>
      </c>
      <c r="M244" s="18">
        <v>259736.37</v>
      </c>
      <c r="N244" s="18">
        <v>167063.63</v>
      </c>
      <c r="O244" s="19">
        <v>0.39140000000000003</v>
      </c>
      <c r="P244" s="16" t="s">
        <v>80</v>
      </c>
    </row>
    <row r="245" spans="1:16" x14ac:dyDescent="0.3">
      <c r="A245" s="20" t="s">
        <v>381</v>
      </c>
      <c r="B245" s="21">
        <v>45503</v>
      </c>
      <c r="C245" s="20" t="s">
        <v>98</v>
      </c>
      <c r="D245" s="20" t="s">
        <v>56</v>
      </c>
      <c r="E245" s="20" t="s">
        <v>29</v>
      </c>
      <c r="F245" s="20" t="s">
        <v>150</v>
      </c>
      <c r="G245" s="20" t="s">
        <v>39</v>
      </c>
      <c r="H245" s="20" t="s">
        <v>127</v>
      </c>
      <c r="I245" s="20" t="s">
        <v>79</v>
      </c>
      <c r="J245" s="20">
        <v>19</v>
      </c>
      <c r="K245" s="22">
        <v>1670</v>
      </c>
      <c r="L245" s="22">
        <v>31730</v>
      </c>
      <c r="M245" s="22">
        <v>17200.38</v>
      </c>
      <c r="N245" s="22">
        <v>14529.62</v>
      </c>
      <c r="O245" s="23">
        <v>0.45789999999999997</v>
      </c>
      <c r="P245" s="20" t="s">
        <v>80</v>
      </c>
    </row>
    <row r="246" spans="1:16" x14ac:dyDescent="0.3">
      <c r="A246" s="16" t="s">
        <v>382</v>
      </c>
      <c r="B246" s="17">
        <v>45370</v>
      </c>
      <c r="C246" s="16" t="s">
        <v>122</v>
      </c>
      <c r="D246" s="16" t="s">
        <v>53</v>
      </c>
      <c r="E246" s="16" t="s">
        <v>30</v>
      </c>
      <c r="F246" s="16" t="s">
        <v>158</v>
      </c>
      <c r="G246" s="16" t="s">
        <v>39</v>
      </c>
      <c r="H246" s="16" t="s">
        <v>87</v>
      </c>
      <c r="I246" s="16" t="s">
        <v>131</v>
      </c>
      <c r="J246" s="16">
        <v>16</v>
      </c>
      <c r="K246" s="18">
        <v>4250</v>
      </c>
      <c r="L246" s="18">
        <v>68000</v>
      </c>
      <c r="M246" s="18">
        <v>37055.629999999997</v>
      </c>
      <c r="N246" s="18">
        <v>30944.37</v>
      </c>
      <c r="O246" s="19">
        <v>0.4551</v>
      </c>
      <c r="P246" s="16" t="s">
        <v>80</v>
      </c>
    </row>
    <row r="247" spans="1:16" x14ac:dyDescent="0.3">
      <c r="A247" s="20" t="s">
        <v>383</v>
      </c>
      <c r="B247" s="21">
        <v>45464</v>
      </c>
      <c r="C247" s="20" t="s">
        <v>125</v>
      </c>
      <c r="D247" s="20" t="s">
        <v>55</v>
      </c>
      <c r="E247" s="20" t="s">
        <v>31</v>
      </c>
      <c r="F247" s="20" t="s">
        <v>91</v>
      </c>
      <c r="G247" s="20" t="s">
        <v>41</v>
      </c>
      <c r="H247" s="20" t="s">
        <v>169</v>
      </c>
      <c r="I247" s="20" t="s">
        <v>112</v>
      </c>
      <c r="J247" s="20">
        <v>12</v>
      </c>
      <c r="K247" s="22">
        <v>37440</v>
      </c>
      <c r="L247" s="22">
        <v>449280</v>
      </c>
      <c r="M247" s="22">
        <v>306891.23</v>
      </c>
      <c r="N247" s="22">
        <v>142388.76999999999</v>
      </c>
      <c r="O247" s="23">
        <v>0.31690000000000002</v>
      </c>
      <c r="P247" s="20" t="s">
        <v>80</v>
      </c>
    </row>
    <row r="248" spans="1:16" x14ac:dyDescent="0.3">
      <c r="A248" s="16" t="s">
        <v>384</v>
      </c>
      <c r="B248" s="17">
        <v>45542</v>
      </c>
      <c r="C248" s="16" t="s">
        <v>202</v>
      </c>
      <c r="D248" s="16" t="s">
        <v>56</v>
      </c>
      <c r="E248" s="16" t="s">
        <v>30</v>
      </c>
      <c r="F248" s="16" t="s">
        <v>108</v>
      </c>
      <c r="G248" s="16" t="s">
        <v>38</v>
      </c>
      <c r="H248" s="16" t="s">
        <v>84</v>
      </c>
      <c r="I248" s="16" t="s">
        <v>109</v>
      </c>
      <c r="J248" s="16">
        <v>2</v>
      </c>
      <c r="K248" s="18">
        <v>75890</v>
      </c>
      <c r="L248" s="18">
        <v>151780</v>
      </c>
      <c r="M248" s="18">
        <v>114376.27</v>
      </c>
      <c r="N248" s="18">
        <v>37403.730000000003</v>
      </c>
      <c r="O248" s="19">
        <v>0.24640000000000001</v>
      </c>
      <c r="P248" s="16" t="s">
        <v>80</v>
      </c>
    </row>
    <row r="249" spans="1:16" x14ac:dyDescent="0.3">
      <c r="A249" s="20" t="s">
        <v>385</v>
      </c>
      <c r="B249" s="21">
        <v>45614</v>
      </c>
      <c r="C249" s="20" t="s">
        <v>76</v>
      </c>
      <c r="D249" s="20" t="s">
        <v>57</v>
      </c>
      <c r="E249" s="20" t="s">
        <v>30</v>
      </c>
      <c r="F249" s="20" t="s">
        <v>126</v>
      </c>
      <c r="G249" s="20" t="s">
        <v>39</v>
      </c>
      <c r="H249" s="20" t="s">
        <v>105</v>
      </c>
      <c r="I249" s="20" t="s">
        <v>109</v>
      </c>
      <c r="J249" s="20">
        <v>12</v>
      </c>
      <c r="K249" s="22">
        <v>2780</v>
      </c>
      <c r="L249" s="22">
        <v>33360</v>
      </c>
      <c r="M249" s="22">
        <v>19814.34</v>
      </c>
      <c r="N249" s="22">
        <v>13545.66</v>
      </c>
      <c r="O249" s="23">
        <v>0.40600000000000003</v>
      </c>
      <c r="P249" s="20" t="s">
        <v>80</v>
      </c>
    </row>
    <row r="250" spans="1:16" x14ac:dyDescent="0.3">
      <c r="A250" s="16" t="s">
        <v>386</v>
      </c>
      <c r="B250" s="17">
        <v>45607</v>
      </c>
      <c r="C250" s="16" t="s">
        <v>76</v>
      </c>
      <c r="D250" s="16" t="s">
        <v>57</v>
      </c>
      <c r="E250" s="16" t="s">
        <v>32</v>
      </c>
      <c r="F250" s="16" t="s">
        <v>139</v>
      </c>
      <c r="G250" s="16" t="s">
        <v>41</v>
      </c>
      <c r="H250" s="16" t="s">
        <v>163</v>
      </c>
      <c r="I250" s="16" t="s">
        <v>140</v>
      </c>
      <c r="J250" s="16">
        <v>14</v>
      </c>
      <c r="K250" s="18">
        <v>28010</v>
      </c>
      <c r="L250" s="18">
        <v>392140</v>
      </c>
      <c r="M250" s="18">
        <v>274033.28000000003</v>
      </c>
      <c r="N250" s="18">
        <v>118106.72</v>
      </c>
      <c r="O250" s="19">
        <v>0.30120000000000002</v>
      </c>
      <c r="P250" s="16" t="s">
        <v>80</v>
      </c>
    </row>
    <row r="251" spans="1:16" x14ac:dyDescent="0.3">
      <c r="A251" s="20" t="s">
        <v>387</v>
      </c>
      <c r="B251" s="21">
        <v>45432</v>
      </c>
      <c r="C251" s="20" t="s">
        <v>13</v>
      </c>
      <c r="D251" s="20" t="s">
        <v>55</v>
      </c>
      <c r="E251" s="20" t="s">
        <v>33</v>
      </c>
      <c r="F251" s="20" t="s">
        <v>83</v>
      </c>
      <c r="G251" s="20" t="s">
        <v>38</v>
      </c>
      <c r="H251" s="20" t="s">
        <v>100</v>
      </c>
      <c r="I251" s="20" t="s">
        <v>88</v>
      </c>
      <c r="J251" s="20">
        <v>4</v>
      </c>
      <c r="K251" s="22">
        <v>13030</v>
      </c>
      <c r="L251" s="22">
        <v>52120</v>
      </c>
      <c r="M251" s="22">
        <v>40526.5</v>
      </c>
      <c r="N251" s="22">
        <v>11593.5</v>
      </c>
      <c r="O251" s="23">
        <v>0.22239999999999999</v>
      </c>
      <c r="P251" s="20" t="s">
        <v>80</v>
      </c>
    </row>
    <row r="252" spans="1:16" x14ac:dyDescent="0.3">
      <c r="A252" s="16" t="s">
        <v>388</v>
      </c>
      <c r="B252" s="17">
        <v>45609</v>
      </c>
      <c r="C252" s="16" t="s">
        <v>76</v>
      </c>
      <c r="D252" s="16" t="s">
        <v>57</v>
      </c>
      <c r="E252" s="16" t="s">
        <v>33</v>
      </c>
      <c r="F252" s="16" t="s">
        <v>83</v>
      </c>
      <c r="G252" s="16" t="s">
        <v>40</v>
      </c>
      <c r="H252" s="16" t="s">
        <v>159</v>
      </c>
      <c r="I252" s="16" t="s">
        <v>88</v>
      </c>
      <c r="J252" s="16">
        <v>13</v>
      </c>
      <c r="K252" s="18">
        <v>340</v>
      </c>
      <c r="L252" s="18">
        <v>4420</v>
      </c>
      <c r="M252" s="18">
        <v>3642.52</v>
      </c>
      <c r="N252" s="18">
        <v>777.48</v>
      </c>
      <c r="O252" s="19">
        <v>0.1759</v>
      </c>
      <c r="P252" s="16" t="s">
        <v>80</v>
      </c>
    </row>
    <row r="253" spans="1:16" x14ac:dyDescent="0.3">
      <c r="A253" s="20" t="s">
        <v>389</v>
      </c>
      <c r="B253" s="21">
        <v>45648</v>
      </c>
      <c r="C253" s="20" t="s">
        <v>175</v>
      </c>
      <c r="D253" s="20" t="s">
        <v>57</v>
      </c>
      <c r="E253" s="20" t="s">
        <v>30</v>
      </c>
      <c r="F253" s="20" t="s">
        <v>158</v>
      </c>
      <c r="G253" s="20" t="s">
        <v>38</v>
      </c>
      <c r="H253" s="20" t="s">
        <v>84</v>
      </c>
      <c r="I253" s="20" t="s">
        <v>109</v>
      </c>
      <c r="J253" s="20">
        <v>13</v>
      </c>
      <c r="K253" s="22">
        <v>35400</v>
      </c>
      <c r="L253" s="22">
        <v>460200</v>
      </c>
      <c r="M253" s="22">
        <v>356530.68</v>
      </c>
      <c r="N253" s="22">
        <v>103669.32</v>
      </c>
      <c r="O253" s="23">
        <v>0.2253</v>
      </c>
      <c r="P253" s="20" t="s">
        <v>110</v>
      </c>
    </row>
    <row r="254" spans="1:16" x14ac:dyDescent="0.3">
      <c r="A254" s="16" t="s">
        <v>390</v>
      </c>
      <c r="B254" s="17">
        <v>45296</v>
      </c>
      <c r="C254" s="16" t="s">
        <v>116</v>
      </c>
      <c r="D254" s="16" t="s">
        <v>53</v>
      </c>
      <c r="E254" s="16" t="s">
        <v>30</v>
      </c>
      <c r="F254" s="16" t="s">
        <v>126</v>
      </c>
      <c r="G254" s="16" t="s">
        <v>41</v>
      </c>
      <c r="H254" s="16" t="s">
        <v>129</v>
      </c>
      <c r="I254" s="16" t="s">
        <v>131</v>
      </c>
      <c r="J254" s="16">
        <v>4</v>
      </c>
      <c r="K254" s="18">
        <v>29600</v>
      </c>
      <c r="L254" s="18">
        <v>118400</v>
      </c>
      <c r="M254" s="18">
        <v>72285.67</v>
      </c>
      <c r="N254" s="18">
        <v>46114.33</v>
      </c>
      <c r="O254" s="19">
        <v>0.38950000000000001</v>
      </c>
      <c r="P254" s="16" t="s">
        <v>80</v>
      </c>
    </row>
    <row r="255" spans="1:16" x14ac:dyDescent="0.3">
      <c r="A255" s="20" t="s">
        <v>391</v>
      </c>
      <c r="B255" s="21">
        <v>45409</v>
      </c>
      <c r="C255" s="20" t="s">
        <v>142</v>
      </c>
      <c r="D255" s="20" t="s">
        <v>55</v>
      </c>
      <c r="E255" s="20" t="s">
        <v>30</v>
      </c>
      <c r="F255" s="20" t="s">
        <v>108</v>
      </c>
      <c r="G255" s="20" t="s">
        <v>42</v>
      </c>
      <c r="H255" s="20" t="s">
        <v>114</v>
      </c>
      <c r="I255" s="20" t="s">
        <v>131</v>
      </c>
      <c r="J255" s="20">
        <v>3</v>
      </c>
      <c r="K255" s="22">
        <v>1460</v>
      </c>
      <c r="L255" s="22">
        <v>4380</v>
      </c>
      <c r="M255" s="22">
        <v>2985.22</v>
      </c>
      <c r="N255" s="22">
        <v>1394.78</v>
      </c>
      <c r="O255" s="23">
        <v>0.31840000000000002</v>
      </c>
      <c r="P255" s="20" t="s">
        <v>80</v>
      </c>
    </row>
    <row r="256" spans="1:16" x14ac:dyDescent="0.3">
      <c r="A256" s="16" t="s">
        <v>392</v>
      </c>
      <c r="B256" s="17">
        <v>45570</v>
      </c>
      <c r="C256" s="16" t="s">
        <v>107</v>
      </c>
      <c r="D256" s="16" t="s">
        <v>57</v>
      </c>
      <c r="E256" s="16" t="s">
        <v>33</v>
      </c>
      <c r="F256" s="16" t="s">
        <v>104</v>
      </c>
      <c r="G256" s="16" t="s">
        <v>38</v>
      </c>
      <c r="H256" s="16" t="s">
        <v>119</v>
      </c>
      <c r="I256" s="16" t="s">
        <v>85</v>
      </c>
      <c r="J256" s="16">
        <v>7</v>
      </c>
      <c r="K256" s="18">
        <v>6170</v>
      </c>
      <c r="L256" s="18">
        <v>43190</v>
      </c>
      <c r="M256" s="18">
        <v>33312.29</v>
      </c>
      <c r="N256" s="18">
        <v>9877.7099999999991</v>
      </c>
      <c r="O256" s="19">
        <v>0.22869999999999999</v>
      </c>
      <c r="P256" s="16" t="s">
        <v>80</v>
      </c>
    </row>
    <row r="257" spans="1:16" x14ac:dyDescent="0.3">
      <c r="A257" s="20" t="s">
        <v>393</v>
      </c>
      <c r="B257" s="21">
        <v>45656</v>
      </c>
      <c r="C257" s="20" t="s">
        <v>175</v>
      </c>
      <c r="D257" s="20" t="s">
        <v>57</v>
      </c>
      <c r="E257" s="20" t="s">
        <v>32</v>
      </c>
      <c r="F257" s="20" t="s">
        <v>145</v>
      </c>
      <c r="G257" s="20" t="s">
        <v>40</v>
      </c>
      <c r="H257" s="20" t="s">
        <v>180</v>
      </c>
      <c r="I257" s="20" t="s">
        <v>140</v>
      </c>
      <c r="J257" s="20">
        <v>13</v>
      </c>
      <c r="K257" s="22">
        <v>630</v>
      </c>
      <c r="L257" s="22">
        <v>8190</v>
      </c>
      <c r="M257" s="22">
        <v>6570.81</v>
      </c>
      <c r="N257" s="22">
        <v>1619.19</v>
      </c>
      <c r="O257" s="23">
        <v>0.19769999999999999</v>
      </c>
      <c r="P257" s="20" t="s">
        <v>80</v>
      </c>
    </row>
    <row r="258" spans="1:16" x14ac:dyDescent="0.3">
      <c r="A258" s="16" t="s">
        <v>394</v>
      </c>
      <c r="B258" s="17">
        <v>45488</v>
      </c>
      <c r="C258" s="16" t="s">
        <v>98</v>
      </c>
      <c r="D258" s="16" t="s">
        <v>56</v>
      </c>
      <c r="E258" s="16" t="s">
        <v>30</v>
      </c>
      <c r="F258" s="16" t="s">
        <v>108</v>
      </c>
      <c r="G258" s="16" t="s">
        <v>38</v>
      </c>
      <c r="H258" s="16" t="s">
        <v>84</v>
      </c>
      <c r="I258" s="16" t="s">
        <v>131</v>
      </c>
      <c r="J258" s="16">
        <v>8</v>
      </c>
      <c r="K258" s="18">
        <v>12330</v>
      </c>
      <c r="L258" s="18">
        <v>98640</v>
      </c>
      <c r="M258" s="18">
        <v>73598.509999999995</v>
      </c>
      <c r="N258" s="18">
        <v>25041.49</v>
      </c>
      <c r="O258" s="19">
        <v>0.25390000000000001</v>
      </c>
      <c r="P258" s="16" t="s">
        <v>80</v>
      </c>
    </row>
    <row r="259" spans="1:16" x14ac:dyDescent="0.3">
      <c r="A259" s="20" t="s">
        <v>395</v>
      </c>
      <c r="B259" s="21">
        <v>45606</v>
      </c>
      <c r="C259" s="20" t="s">
        <v>76</v>
      </c>
      <c r="D259" s="20" t="s">
        <v>57</v>
      </c>
      <c r="E259" s="20" t="s">
        <v>33</v>
      </c>
      <c r="F259" s="20" t="s">
        <v>83</v>
      </c>
      <c r="G259" s="20" t="s">
        <v>40</v>
      </c>
      <c r="H259" s="20" t="s">
        <v>102</v>
      </c>
      <c r="I259" s="20" t="s">
        <v>85</v>
      </c>
      <c r="J259" s="20">
        <v>15</v>
      </c>
      <c r="K259" s="22">
        <v>1610</v>
      </c>
      <c r="L259" s="22">
        <v>24150</v>
      </c>
      <c r="M259" s="22">
        <v>19825.689999999999</v>
      </c>
      <c r="N259" s="22">
        <v>4324.3100000000004</v>
      </c>
      <c r="O259" s="23">
        <v>0.17910000000000001</v>
      </c>
      <c r="P259" s="20" t="s">
        <v>80</v>
      </c>
    </row>
    <row r="260" spans="1:16" x14ac:dyDescent="0.3">
      <c r="A260" s="16" t="s">
        <v>396</v>
      </c>
      <c r="B260" s="17">
        <v>45484</v>
      </c>
      <c r="C260" s="16" t="s">
        <v>98</v>
      </c>
      <c r="D260" s="16" t="s">
        <v>56</v>
      </c>
      <c r="E260" s="16" t="s">
        <v>32</v>
      </c>
      <c r="F260" s="16" t="s">
        <v>145</v>
      </c>
      <c r="G260" s="16" t="s">
        <v>42</v>
      </c>
      <c r="H260" s="16" t="s">
        <v>156</v>
      </c>
      <c r="I260" s="16" t="s">
        <v>146</v>
      </c>
      <c r="J260" s="16">
        <v>10</v>
      </c>
      <c r="K260" s="18">
        <v>11760</v>
      </c>
      <c r="L260" s="18">
        <v>117600</v>
      </c>
      <c r="M260" s="18">
        <v>78814.87</v>
      </c>
      <c r="N260" s="18">
        <v>38785.129999999997</v>
      </c>
      <c r="O260" s="19">
        <v>0.32979999999999998</v>
      </c>
      <c r="P260" s="16" t="s">
        <v>80</v>
      </c>
    </row>
    <row r="261" spans="1:16" x14ac:dyDescent="0.3">
      <c r="A261" s="20" t="s">
        <v>397</v>
      </c>
      <c r="B261" s="21">
        <v>45334</v>
      </c>
      <c r="C261" s="20" t="s">
        <v>82</v>
      </c>
      <c r="D261" s="20" t="s">
        <v>53</v>
      </c>
      <c r="E261" s="20" t="s">
        <v>31</v>
      </c>
      <c r="F261" s="20" t="s">
        <v>95</v>
      </c>
      <c r="G261" s="20" t="s">
        <v>41</v>
      </c>
      <c r="H261" s="20" t="s">
        <v>96</v>
      </c>
      <c r="I261" s="20" t="s">
        <v>93</v>
      </c>
      <c r="J261" s="20">
        <v>4</v>
      </c>
      <c r="K261" s="22">
        <v>17880</v>
      </c>
      <c r="L261" s="22">
        <v>71520</v>
      </c>
      <c r="M261" s="22">
        <v>49409.45</v>
      </c>
      <c r="N261" s="22">
        <v>22110.55</v>
      </c>
      <c r="O261" s="23">
        <v>0.30919999999999997</v>
      </c>
      <c r="P261" s="20" t="s">
        <v>80</v>
      </c>
    </row>
    <row r="262" spans="1:16" x14ac:dyDescent="0.3">
      <c r="A262" s="16" t="s">
        <v>398</v>
      </c>
      <c r="B262" s="17">
        <v>45519</v>
      </c>
      <c r="C262" s="16" t="s">
        <v>90</v>
      </c>
      <c r="D262" s="16" t="s">
        <v>56</v>
      </c>
      <c r="E262" s="16" t="s">
        <v>31</v>
      </c>
      <c r="F262" s="16" t="s">
        <v>91</v>
      </c>
      <c r="G262" s="16" t="s">
        <v>38</v>
      </c>
      <c r="H262" s="16" t="s">
        <v>84</v>
      </c>
      <c r="I262" s="16" t="s">
        <v>93</v>
      </c>
      <c r="J262" s="16">
        <v>15</v>
      </c>
      <c r="K262" s="18">
        <v>19050</v>
      </c>
      <c r="L262" s="18">
        <v>285750</v>
      </c>
      <c r="M262" s="18">
        <v>221256.65</v>
      </c>
      <c r="N262" s="18">
        <v>64493.35</v>
      </c>
      <c r="O262" s="19">
        <v>0.22570000000000001</v>
      </c>
      <c r="P262" s="16" t="s">
        <v>80</v>
      </c>
    </row>
    <row r="263" spans="1:16" x14ac:dyDescent="0.3">
      <c r="A263" s="20" t="s">
        <v>399</v>
      </c>
      <c r="B263" s="21">
        <v>45344</v>
      </c>
      <c r="C263" s="20" t="s">
        <v>82</v>
      </c>
      <c r="D263" s="20" t="s">
        <v>53</v>
      </c>
      <c r="E263" s="20" t="s">
        <v>29</v>
      </c>
      <c r="F263" s="20" t="s">
        <v>77</v>
      </c>
      <c r="G263" s="20" t="s">
        <v>40</v>
      </c>
      <c r="H263" s="20" t="s">
        <v>180</v>
      </c>
      <c r="I263" s="20" t="s">
        <v>79</v>
      </c>
      <c r="J263" s="20">
        <v>11</v>
      </c>
      <c r="K263" s="22">
        <v>1280</v>
      </c>
      <c r="L263" s="22">
        <v>14080</v>
      </c>
      <c r="M263" s="22">
        <v>11033.48</v>
      </c>
      <c r="N263" s="22">
        <v>3046.52</v>
      </c>
      <c r="O263" s="23">
        <v>0.21640000000000001</v>
      </c>
      <c r="P263" s="20" t="s">
        <v>110</v>
      </c>
    </row>
    <row r="264" spans="1:16" x14ac:dyDescent="0.3">
      <c r="A264" s="16" t="s">
        <v>400</v>
      </c>
      <c r="B264" s="17">
        <v>45503</v>
      </c>
      <c r="C264" s="16" t="s">
        <v>98</v>
      </c>
      <c r="D264" s="16" t="s">
        <v>56</v>
      </c>
      <c r="E264" s="16" t="s">
        <v>32</v>
      </c>
      <c r="F264" s="16" t="s">
        <v>145</v>
      </c>
      <c r="G264" s="16" t="s">
        <v>42</v>
      </c>
      <c r="H264" s="16" t="s">
        <v>133</v>
      </c>
      <c r="I264" s="16" t="s">
        <v>140</v>
      </c>
      <c r="J264" s="16">
        <v>13</v>
      </c>
      <c r="K264" s="18">
        <v>8200</v>
      </c>
      <c r="L264" s="18">
        <v>106600</v>
      </c>
      <c r="M264" s="18">
        <v>78143.11</v>
      </c>
      <c r="N264" s="18">
        <v>28456.89</v>
      </c>
      <c r="O264" s="19">
        <v>0.26700000000000002</v>
      </c>
      <c r="P264" s="16" t="s">
        <v>80</v>
      </c>
    </row>
    <row r="265" spans="1:16" x14ac:dyDescent="0.3">
      <c r="A265" s="20" t="s">
        <v>401</v>
      </c>
      <c r="B265" s="21">
        <v>45429</v>
      </c>
      <c r="C265" s="20" t="s">
        <v>13</v>
      </c>
      <c r="D265" s="20" t="s">
        <v>55</v>
      </c>
      <c r="E265" s="20" t="s">
        <v>32</v>
      </c>
      <c r="F265" s="20" t="s">
        <v>145</v>
      </c>
      <c r="G265" s="20" t="s">
        <v>38</v>
      </c>
      <c r="H265" s="20" t="s">
        <v>123</v>
      </c>
      <c r="I265" s="20" t="s">
        <v>140</v>
      </c>
      <c r="J265" s="20">
        <v>10</v>
      </c>
      <c r="K265" s="22">
        <v>25700</v>
      </c>
      <c r="L265" s="22">
        <v>257000</v>
      </c>
      <c r="M265" s="22">
        <v>200865.26</v>
      </c>
      <c r="N265" s="22">
        <v>56134.74</v>
      </c>
      <c r="O265" s="23">
        <v>0.21840000000000001</v>
      </c>
      <c r="P265" s="20" t="s">
        <v>80</v>
      </c>
    </row>
    <row r="266" spans="1:16" x14ac:dyDescent="0.3">
      <c r="A266" s="16" t="s">
        <v>402</v>
      </c>
      <c r="B266" s="17">
        <v>45420</v>
      </c>
      <c r="C266" s="16" t="s">
        <v>13</v>
      </c>
      <c r="D266" s="16" t="s">
        <v>55</v>
      </c>
      <c r="E266" s="16" t="s">
        <v>30</v>
      </c>
      <c r="F266" s="16" t="s">
        <v>108</v>
      </c>
      <c r="G266" s="16" t="s">
        <v>41</v>
      </c>
      <c r="H266" s="16" t="s">
        <v>96</v>
      </c>
      <c r="I266" s="16" t="s">
        <v>109</v>
      </c>
      <c r="J266" s="16">
        <v>10</v>
      </c>
      <c r="K266" s="18">
        <v>8030</v>
      </c>
      <c r="L266" s="18">
        <v>80300</v>
      </c>
      <c r="M266" s="18">
        <v>56155.66</v>
      </c>
      <c r="N266" s="18">
        <v>24144.34</v>
      </c>
      <c r="O266" s="19">
        <v>0.30070000000000002</v>
      </c>
      <c r="P266" s="16" t="s">
        <v>80</v>
      </c>
    </row>
    <row r="267" spans="1:16" x14ac:dyDescent="0.3">
      <c r="A267" s="20" t="s">
        <v>403</v>
      </c>
      <c r="B267" s="21">
        <v>45609</v>
      </c>
      <c r="C267" s="20" t="s">
        <v>76</v>
      </c>
      <c r="D267" s="20" t="s">
        <v>57</v>
      </c>
      <c r="E267" s="20" t="s">
        <v>32</v>
      </c>
      <c r="F267" s="20" t="s">
        <v>177</v>
      </c>
      <c r="G267" s="20" t="s">
        <v>41</v>
      </c>
      <c r="H267" s="20" t="s">
        <v>96</v>
      </c>
      <c r="I267" s="20" t="s">
        <v>146</v>
      </c>
      <c r="J267" s="20">
        <v>20</v>
      </c>
      <c r="K267" s="22">
        <v>41330</v>
      </c>
      <c r="L267" s="22">
        <v>826600</v>
      </c>
      <c r="M267" s="22">
        <v>567367.94999999995</v>
      </c>
      <c r="N267" s="22">
        <v>259232.05</v>
      </c>
      <c r="O267" s="23">
        <v>0.31359999999999999</v>
      </c>
      <c r="P267" s="20" t="s">
        <v>80</v>
      </c>
    </row>
    <row r="268" spans="1:16" x14ac:dyDescent="0.3">
      <c r="A268" s="16" t="s">
        <v>404</v>
      </c>
      <c r="B268" s="17">
        <v>45647</v>
      </c>
      <c r="C268" s="16" t="s">
        <v>175</v>
      </c>
      <c r="D268" s="16" t="s">
        <v>57</v>
      </c>
      <c r="E268" s="16" t="s">
        <v>30</v>
      </c>
      <c r="F268" s="16" t="s">
        <v>158</v>
      </c>
      <c r="G268" s="16" t="s">
        <v>40</v>
      </c>
      <c r="H268" s="16" t="s">
        <v>159</v>
      </c>
      <c r="I268" s="16" t="s">
        <v>109</v>
      </c>
      <c r="J268" s="16">
        <v>10</v>
      </c>
      <c r="K268" s="18">
        <v>1940</v>
      </c>
      <c r="L268" s="18">
        <v>19400</v>
      </c>
      <c r="M268" s="18">
        <v>15452.34</v>
      </c>
      <c r="N268" s="18">
        <v>3947.66</v>
      </c>
      <c r="O268" s="19">
        <v>0.20349999999999999</v>
      </c>
      <c r="P268" s="16" t="s">
        <v>80</v>
      </c>
    </row>
    <row r="269" spans="1:16" x14ac:dyDescent="0.3">
      <c r="A269" s="20" t="s">
        <v>405</v>
      </c>
      <c r="B269" s="21">
        <v>45586</v>
      </c>
      <c r="C269" s="20" t="s">
        <v>107</v>
      </c>
      <c r="D269" s="20" t="s">
        <v>57</v>
      </c>
      <c r="E269" s="20" t="s">
        <v>30</v>
      </c>
      <c r="F269" s="20" t="s">
        <v>158</v>
      </c>
      <c r="G269" s="20" t="s">
        <v>41</v>
      </c>
      <c r="H269" s="20" t="s">
        <v>96</v>
      </c>
      <c r="I269" s="20" t="s">
        <v>131</v>
      </c>
      <c r="J269" s="20">
        <v>19</v>
      </c>
      <c r="K269" s="22">
        <v>20160</v>
      </c>
      <c r="L269" s="22">
        <v>383040</v>
      </c>
      <c r="M269" s="22">
        <v>260474.86</v>
      </c>
      <c r="N269" s="22">
        <v>122565.14</v>
      </c>
      <c r="O269" s="23">
        <v>0.32</v>
      </c>
      <c r="P269" s="20" t="s">
        <v>80</v>
      </c>
    </row>
    <row r="270" spans="1:16" x14ac:dyDescent="0.3">
      <c r="A270" s="16" t="s">
        <v>406</v>
      </c>
      <c r="B270" s="17">
        <v>45384</v>
      </c>
      <c r="C270" s="16" t="s">
        <v>142</v>
      </c>
      <c r="D270" s="16" t="s">
        <v>55</v>
      </c>
      <c r="E270" s="16" t="s">
        <v>33</v>
      </c>
      <c r="F270" s="16" t="s">
        <v>99</v>
      </c>
      <c r="G270" s="16" t="s">
        <v>41</v>
      </c>
      <c r="H270" s="16" t="s">
        <v>96</v>
      </c>
      <c r="I270" s="16" t="s">
        <v>85</v>
      </c>
      <c r="J270" s="16">
        <v>3</v>
      </c>
      <c r="K270" s="18">
        <v>40490</v>
      </c>
      <c r="L270" s="18">
        <v>121470</v>
      </c>
      <c r="M270" s="18">
        <v>75081.03</v>
      </c>
      <c r="N270" s="18">
        <v>46388.97</v>
      </c>
      <c r="O270" s="19">
        <v>0.38190000000000002</v>
      </c>
      <c r="P270" s="16" t="s">
        <v>80</v>
      </c>
    </row>
    <row r="271" spans="1:16" x14ac:dyDescent="0.3">
      <c r="A271" s="20" t="s">
        <v>407</v>
      </c>
      <c r="B271" s="21">
        <v>45501</v>
      </c>
      <c r="C271" s="20" t="s">
        <v>98</v>
      </c>
      <c r="D271" s="20" t="s">
        <v>56</v>
      </c>
      <c r="E271" s="20" t="s">
        <v>32</v>
      </c>
      <c r="F271" s="20" t="s">
        <v>145</v>
      </c>
      <c r="G271" s="20" t="s">
        <v>40</v>
      </c>
      <c r="H271" s="20" t="s">
        <v>102</v>
      </c>
      <c r="I271" s="20" t="s">
        <v>140</v>
      </c>
      <c r="J271" s="20">
        <v>14</v>
      </c>
      <c r="K271" s="22">
        <v>1390</v>
      </c>
      <c r="L271" s="22">
        <v>19460</v>
      </c>
      <c r="M271" s="22">
        <v>15394.66</v>
      </c>
      <c r="N271" s="22">
        <v>4065.34</v>
      </c>
      <c r="O271" s="23">
        <v>0.2089</v>
      </c>
      <c r="P271" s="20" t="s">
        <v>80</v>
      </c>
    </row>
    <row r="272" spans="1:16" x14ac:dyDescent="0.3">
      <c r="A272" s="16" t="s">
        <v>408</v>
      </c>
      <c r="B272" s="17">
        <v>45598</v>
      </c>
      <c r="C272" s="16" t="s">
        <v>76</v>
      </c>
      <c r="D272" s="16" t="s">
        <v>57</v>
      </c>
      <c r="E272" s="16" t="s">
        <v>32</v>
      </c>
      <c r="F272" s="16" t="s">
        <v>139</v>
      </c>
      <c r="G272" s="16" t="s">
        <v>41</v>
      </c>
      <c r="H272" s="16" t="s">
        <v>178</v>
      </c>
      <c r="I272" s="16" t="s">
        <v>146</v>
      </c>
      <c r="J272" s="16">
        <v>12</v>
      </c>
      <c r="K272" s="18">
        <v>4730</v>
      </c>
      <c r="L272" s="18">
        <v>56760</v>
      </c>
      <c r="M272" s="18">
        <v>35749.519999999997</v>
      </c>
      <c r="N272" s="18">
        <v>21010.48</v>
      </c>
      <c r="O272" s="19">
        <v>0.37019999999999997</v>
      </c>
      <c r="P272" s="16" t="s">
        <v>80</v>
      </c>
    </row>
    <row r="273" spans="1:16" x14ac:dyDescent="0.3">
      <c r="A273" s="20" t="s">
        <v>409</v>
      </c>
      <c r="B273" s="21">
        <v>45596</v>
      </c>
      <c r="C273" s="20" t="s">
        <v>107</v>
      </c>
      <c r="D273" s="20" t="s">
        <v>57</v>
      </c>
      <c r="E273" s="20" t="s">
        <v>29</v>
      </c>
      <c r="F273" s="20" t="s">
        <v>77</v>
      </c>
      <c r="G273" s="20" t="s">
        <v>39</v>
      </c>
      <c r="H273" s="20" t="s">
        <v>105</v>
      </c>
      <c r="I273" s="20" t="s">
        <v>117</v>
      </c>
      <c r="J273" s="20">
        <v>2</v>
      </c>
      <c r="K273" s="22">
        <v>3410</v>
      </c>
      <c r="L273" s="22">
        <v>6820</v>
      </c>
      <c r="M273" s="22">
        <v>3707.88</v>
      </c>
      <c r="N273" s="22">
        <v>3112.12</v>
      </c>
      <c r="O273" s="23">
        <v>0.45629999999999998</v>
      </c>
      <c r="P273" s="20" t="s">
        <v>80</v>
      </c>
    </row>
    <row r="274" spans="1:16" x14ac:dyDescent="0.3">
      <c r="A274" s="16" t="s">
        <v>410</v>
      </c>
      <c r="B274" s="17">
        <v>45623</v>
      </c>
      <c r="C274" s="16" t="s">
        <v>76</v>
      </c>
      <c r="D274" s="16" t="s">
        <v>57</v>
      </c>
      <c r="E274" s="16" t="s">
        <v>32</v>
      </c>
      <c r="F274" s="16" t="s">
        <v>177</v>
      </c>
      <c r="G274" s="16" t="s">
        <v>41</v>
      </c>
      <c r="H274" s="16" t="s">
        <v>163</v>
      </c>
      <c r="I274" s="16" t="s">
        <v>140</v>
      </c>
      <c r="J274" s="16">
        <v>8</v>
      </c>
      <c r="K274" s="18">
        <v>7630</v>
      </c>
      <c r="L274" s="18">
        <v>61040</v>
      </c>
      <c r="M274" s="18">
        <v>39610.83</v>
      </c>
      <c r="N274" s="18">
        <v>21429.17</v>
      </c>
      <c r="O274" s="19">
        <v>0.35110000000000002</v>
      </c>
      <c r="P274" s="16" t="s">
        <v>80</v>
      </c>
    </row>
    <row r="275" spans="1:16" x14ac:dyDescent="0.3">
      <c r="A275" s="20" t="s">
        <v>411</v>
      </c>
      <c r="B275" s="21">
        <v>45589</v>
      </c>
      <c r="C275" s="20" t="s">
        <v>107</v>
      </c>
      <c r="D275" s="20" t="s">
        <v>57</v>
      </c>
      <c r="E275" s="20" t="s">
        <v>33</v>
      </c>
      <c r="F275" s="20" t="s">
        <v>99</v>
      </c>
      <c r="G275" s="20" t="s">
        <v>41</v>
      </c>
      <c r="H275" s="20" t="s">
        <v>96</v>
      </c>
      <c r="I275" s="20" t="s">
        <v>88</v>
      </c>
      <c r="J275" s="20">
        <v>19</v>
      </c>
      <c r="K275" s="22">
        <v>24760</v>
      </c>
      <c r="L275" s="22">
        <v>470440</v>
      </c>
      <c r="M275" s="22">
        <v>296827.07</v>
      </c>
      <c r="N275" s="22">
        <v>173612.93</v>
      </c>
      <c r="O275" s="23">
        <v>0.36899999999999999</v>
      </c>
      <c r="P275" s="20" t="s">
        <v>80</v>
      </c>
    </row>
    <row r="276" spans="1:16" x14ac:dyDescent="0.3">
      <c r="A276" s="16" t="s">
        <v>412</v>
      </c>
      <c r="B276" s="17">
        <v>45304</v>
      </c>
      <c r="C276" s="16" t="s">
        <v>116</v>
      </c>
      <c r="D276" s="16" t="s">
        <v>53</v>
      </c>
      <c r="E276" s="16" t="s">
        <v>32</v>
      </c>
      <c r="F276" s="16" t="s">
        <v>145</v>
      </c>
      <c r="G276" s="16" t="s">
        <v>40</v>
      </c>
      <c r="H276" s="16" t="s">
        <v>151</v>
      </c>
      <c r="I276" s="16" t="s">
        <v>146</v>
      </c>
      <c r="J276" s="16">
        <v>5</v>
      </c>
      <c r="K276" s="18">
        <v>410</v>
      </c>
      <c r="L276" s="18">
        <v>2050</v>
      </c>
      <c r="M276" s="18">
        <v>1712.09</v>
      </c>
      <c r="N276" s="18">
        <v>337.91</v>
      </c>
      <c r="O276" s="19">
        <v>0.1648</v>
      </c>
      <c r="P276" s="16" t="s">
        <v>80</v>
      </c>
    </row>
    <row r="277" spans="1:16" x14ac:dyDescent="0.3">
      <c r="A277" s="20" t="s">
        <v>413</v>
      </c>
      <c r="B277" s="21">
        <v>45397</v>
      </c>
      <c r="C277" s="20" t="s">
        <v>142</v>
      </c>
      <c r="D277" s="20" t="s">
        <v>55</v>
      </c>
      <c r="E277" s="20" t="s">
        <v>33</v>
      </c>
      <c r="F277" s="20" t="s">
        <v>83</v>
      </c>
      <c r="G277" s="20" t="s">
        <v>40</v>
      </c>
      <c r="H277" s="20" t="s">
        <v>151</v>
      </c>
      <c r="I277" s="20" t="s">
        <v>88</v>
      </c>
      <c r="J277" s="20">
        <v>15</v>
      </c>
      <c r="K277" s="22">
        <v>990</v>
      </c>
      <c r="L277" s="22">
        <v>14850</v>
      </c>
      <c r="M277" s="22">
        <v>12445.92</v>
      </c>
      <c r="N277" s="22">
        <v>2404.08</v>
      </c>
      <c r="O277" s="23">
        <v>0.16189999999999999</v>
      </c>
      <c r="P277" s="20" t="s">
        <v>80</v>
      </c>
    </row>
    <row r="278" spans="1:16" x14ac:dyDescent="0.3">
      <c r="A278" s="16" t="s">
        <v>414</v>
      </c>
      <c r="B278" s="17">
        <v>45655</v>
      </c>
      <c r="C278" s="16" t="s">
        <v>175</v>
      </c>
      <c r="D278" s="16" t="s">
        <v>57</v>
      </c>
      <c r="E278" s="16" t="s">
        <v>29</v>
      </c>
      <c r="F278" s="16" t="s">
        <v>77</v>
      </c>
      <c r="G278" s="16" t="s">
        <v>40</v>
      </c>
      <c r="H278" s="16" t="s">
        <v>78</v>
      </c>
      <c r="I278" s="16" t="s">
        <v>79</v>
      </c>
      <c r="J278" s="16">
        <v>8</v>
      </c>
      <c r="K278" s="18">
        <v>1870</v>
      </c>
      <c r="L278" s="18">
        <v>14960</v>
      </c>
      <c r="M278" s="18">
        <v>12243.27</v>
      </c>
      <c r="N278" s="18">
        <v>2716.73</v>
      </c>
      <c r="O278" s="19">
        <v>0.18160000000000001</v>
      </c>
      <c r="P278" s="16" t="s">
        <v>80</v>
      </c>
    </row>
    <row r="279" spans="1:16" x14ac:dyDescent="0.3">
      <c r="A279" s="20" t="s">
        <v>415</v>
      </c>
      <c r="B279" s="21">
        <v>45461</v>
      </c>
      <c r="C279" s="20" t="s">
        <v>125</v>
      </c>
      <c r="D279" s="20" t="s">
        <v>55</v>
      </c>
      <c r="E279" s="20" t="s">
        <v>33</v>
      </c>
      <c r="F279" s="20" t="s">
        <v>83</v>
      </c>
      <c r="G279" s="20" t="s">
        <v>41</v>
      </c>
      <c r="H279" s="20" t="s">
        <v>96</v>
      </c>
      <c r="I279" s="20" t="s">
        <v>85</v>
      </c>
      <c r="J279" s="20">
        <v>6</v>
      </c>
      <c r="K279" s="22">
        <v>32600</v>
      </c>
      <c r="L279" s="22">
        <v>195600</v>
      </c>
      <c r="M279" s="22">
        <v>124392.23</v>
      </c>
      <c r="N279" s="22">
        <v>71207.77</v>
      </c>
      <c r="O279" s="23">
        <v>0.36399999999999999</v>
      </c>
      <c r="P279" s="20" t="s">
        <v>80</v>
      </c>
    </row>
    <row r="280" spans="1:16" x14ac:dyDescent="0.3">
      <c r="A280" s="16" t="s">
        <v>416</v>
      </c>
      <c r="B280" s="17">
        <v>45306</v>
      </c>
      <c r="C280" s="16" t="s">
        <v>116</v>
      </c>
      <c r="D280" s="16" t="s">
        <v>53</v>
      </c>
      <c r="E280" s="16" t="s">
        <v>33</v>
      </c>
      <c r="F280" s="16" t="s">
        <v>99</v>
      </c>
      <c r="G280" s="16" t="s">
        <v>41</v>
      </c>
      <c r="H280" s="16" t="s">
        <v>96</v>
      </c>
      <c r="I280" s="16" t="s">
        <v>88</v>
      </c>
      <c r="J280" s="16">
        <v>7</v>
      </c>
      <c r="K280" s="18">
        <v>3210</v>
      </c>
      <c r="L280" s="18">
        <v>22470</v>
      </c>
      <c r="M280" s="18">
        <v>15266.6</v>
      </c>
      <c r="N280" s="18">
        <v>7203.4</v>
      </c>
      <c r="O280" s="19">
        <v>0.3206</v>
      </c>
      <c r="P280" s="16" t="s">
        <v>80</v>
      </c>
    </row>
    <row r="281" spans="1:16" x14ac:dyDescent="0.3">
      <c r="A281" s="20" t="s">
        <v>417</v>
      </c>
      <c r="B281" s="21">
        <v>45324</v>
      </c>
      <c r="C281" s="20" t="s">
        <v>82</v>
      </c>
      <c r="D281" s="20" t="s">
        <v>53</v>
      </c>
      <c r="E281" s="20" t="s">
        <v>33</v>
      </c>
      <c r="F281" s="20" t="s">
        <v>99</v>
      </c>
      <c r="G281" s="20" t="s">
        <v>42</v>
      </c>
      <c r="H281" s="20" t="s">
        <v>114</v>
      </c>
      <c r="I281" s="20" t="s">
        <v>85</v>
      </c>
      <c r="J281" s="20">
        <v>15</v>
      </c>
      <c r="K281" s="22">
        <v>5430</v>
      </c>
      <c r="L281" s="22">
        <v>81450</v>
      </c>
      <c r="M281" s="22">
        <v>60159.34</v>
      </c>
      <c r="N281" s="22">
        <v>21290.66</v>
      </c>
      <c r="O281" s="23">
        <v>0.26140000000000002</v>
      </c>
      <c r="P281" s="20" t="s">
        <v>80</v>
      </c>
    </row>
    <row r="282" spans="1:16" x14ac:dyDescent="0.3">
      <c r="A282" s="16" t="s">
        <v>418</v>
      </c>
      <c r="B282" s="17">
        <v>45542</v>
      </c>
      <c r="C282" s="16" t="s">
        <v>202</v>
      </c>
      <c r="D282" s="16" t="s">
        <v>56</v>
      </c>
      <c r="E282" s="16" t="s">
        <v>33</v>
      </c>
      <c r="F282" s="16" t="s">
        <v>104</v>
      </c>
      <c r="G282" s="16" t="s">
        <v>40</v>
      </c>
      <c r="H282" s="16" t="s">
        <v>180</v>
      </c>
      <c r="I282" s="16" t="s">
        <v>88</v>
      </c>
      <c r="J282" s="16">
        <v>4</v>
      </c>
      <c r="K282" s="18">
        <v>910</v>
      </c>
      <c r="L282" s="18">
        <v>3640</v>
      </c>
      <c r="M282" s="18">
        <v>3040.16</v>
      </c>
      <c r="N282" s="18">
        <v>599.84</v>
      </c>
      <c r="O282" s="19">
        <v>0.1648</v>
      </c>
      <c r="P282" s="16" t="s">
        <v>80</v>
      </c>
    </row>
    <row r="283" spans="1:16" x14ac:dyDescent="0.3">
      <c r="A283" s="20" t="s">
        <v>419</v>
      </c>
      <c r="B283" s="21">
        <v>45608</v>
      </c>
      <c r="C283" s="20" t="s">
        <v>76</v>
      </c>
      <c r="D283" s="20" t="s">
        <v>57</v>
      </c>
      <c r="E283" s="20" t="s">
        <v>30</v>
      </c>
      <c r="F283" s="20" t="s">
        <v>108</v>
      </c>
      <c r="G283" s="20" t="s">
        <v>40</v>
      </c>
      <c r="H283" s="20" t="s">
        <v>78</v>
      </c>
      <c r="I283" s="20" t="s">
        <v>109</v>
      </c>
      <c r="J283" s="20">
        <v>8</v>
      </c>
      <c r="K283" s="22">
        <v>760</v>
      </c>
      <c r="L283" s="22">
        <v>6080</v>
      </c>
      <c r="M283" s="22">
        <v>5103.93</v>
      </c>
      <c r="N283" s="22">
        <v>976.07</v>
      </c>
      <c r="O283" s="23">
        <v>0.1605</v>
      </c>
      <c r="P283" s="20" t="s">
        <v>80</v>
      </c>
    </row>
    <row r="284" spans="1:16" x14ac:dyDescent="0.3">
      <c r="A284" s="16" t="s">
        <v>420</v>
      </c>
      <c r="B284" s="17">
        <v>45647</v>
      </c>
      <c r="C284" s="16" t="s">
        <v>175</v>
      </c>
      <c r="D284" s="16" t="s">
        <v>57</v>
      </c>
      <c r="E284" s="16" t="s">
        <v>30</v>
      </c>
      <c r="F284" s="16" t="s">
        <v>108</v>
      </c>
      <c r="G284" s="16" t="s">
        <v>41</v>
      </c>
      <c r="H284" s="16" t="s">
        <v>178</v>
      </c>
      <c r="I284" s="16" t="s">
        <v>131</v>
      </c>
      <c r="J284" s="16">
        <v>13</v>
      </c>
      <c r="K284" s="18">
        <v>9480</v>
      </c>
      <c r="L284" s="18">
        <v>123240</v>
      </c>
      <c r="M284" s="18">
        <v>81054.47</v>
      </c>
      <c r="N284" s="18">
        <v>42185.53</v>
      </c>
      <c r="O284" s="19">
        <v>0.34229999999999999</v>
      </c>
      <c r="P284" s="16" t="s">
        <v>80</v>
      </c>
    </row>
    <row r="285" spans="1:16" x14ac:dyDescent="0.3">
      <c r="A285" s="20" t="s">
        <v>421</v>
      </c>
      <c r="B285" s="21">
        <v>45567</v>
      </c>
      <c r="C285" s="20" t="s">
        <v>107</v>
      </c>
      <c r="D285" s="20" t="s">
        <v>57</v>
      </c>
      <c r="E285" s="20" t="s">
        <v>30</v>
      </c>
      <c r="F285" s="20" t="s">
        <v>108</v>
      </c>
      <c r="G285" s="20" t="s">
        <v>39</v>
      </c>
      <c r="H285" s="20" t="s">
        <v>92</v>
      </c>
      <c r="I285" s="20" t="s">
        <v>131</v>
      </c>
      <c r="J285" s="20">
        <v>11</v>
      </c>
      <c r="K285" s="22">
        <v>1130</v>
      </c>
      <c r="L285" s="22">
        <v>12430</v>
      </c>
      <c r="M285" s="22">
        <v>6411.41</v>
      </c>
      <c r="N285" s="22">
        <v>6018.59</v>
      </c>
      <c r="O285" s="23">
        <v>0.48420000000000002</v>
      </c>
      <c r="P285" s="20" t="s">
        <v>80</v>
      </c>
    </row>
    <row r="286" spans="1:16" x14ac:dyDescent="0.3">
      <c r="A286" s="16" t="s">
        <v>422</v>
      </c>
      <c r="B286" s="17">
        <v>45475</v>
      </c>
      <c r="C286" s="16" t="s">
        <v>98</v>
      </c>
      <c r="D286" s="16" t="s">
        <v>56</v>
      </c>
      <c r="E286" s="16" t="s">
        <v>29</v>
      </c>
      <c r="F286" s="16" t="s">
        <v>135</v>
      </c>
      <c r="G286" s="16" t="s">
        <v>39</v>
      </c>
      <c r="H286" s="16" t="s">
        <v>137</v>
      </c>
      <c r="I286" s="16" t="s">
        <v>79</v>
      </c>
      <c r="J286" s="16">
        <v>17</v>
      </c>
      <c r="K286" s="18">
        <v>4840</v>
      </c>
      <c r="L286" s="18">
        <v>82280</v>
      </c>
      <c r="M286" s="18">
        <v>43994.54</v>
      </c>
      <c r="N286" s="18">
        <v>38285.46</v>
      </c>
      <c r="O286" s="19">
        <v>0.46529999999999999</v>
      </c>
      <c r="P286" s="16" t="s">
        <v>80</v>
      </c>
    </row>
    <row r="287" spans="1:16" x14ac:dyDescent="0.3">
      <c r="A287" s="20" t="s">
        <v>423</v>
      </c>
      <c r="B287" s="21">
        <v>45543</v>
      </c>
      <c r="C287" s="20" t="s">
        <v>202</v>
      </c>
      <c r="D287" s="20" t="s">
        <v>56</v>
      </c>
      <c r="E287" s="20" t="s">
        <v>32</v>
      </c>
      <c r="F287" s="20" t="s">
        <v>139</v>
      </c>
      <c r="G287" s="20" t="s">
        <v>41</v>
      </c>
      <c r="H287" s="20" t="s">
        <v>169</v>
      </c>
      <c r="I287" s="20" t="s">
        <v>146</v>
      </c>
      <c r="J287" s="20">
        <v>1</v>
      </c>
      <c r="K287" s="22">
        <v>6890</v>
      </c>
      <c r="L287" s="22">
        <v>6890</v>
      </c>
      <c r="M287" s="22">
        <v>4274.6400000000003</v>
      </c>
      <c r="N287" s="22">
        <v>2615.36</v>
      </c>
      <c r="O287" s="23">
        <v>0.37959999999999999</v>
      </c>
      <c r="P287" s="20" t="s">
        <v>80</v>
      </c>
    </row>
    <row r="288" spans="1:16" x14ac:dyDescent="0.3">
      <c r="A288" s="16" t="s">
        <v>424</v>
      </c>
      <c r="B288" s="17">
        <v>45308</v>
      </c>
      <c r="C288" s="16" t="s">
        <v>116</v>
      </c>
      <c r="D288" s="16" t="s">
        <v>53</v>
      </c>
      <c r="E288" s="16" t="s">
        <v>31</v>
      </c>
      <c r="F288" s="16" t="s">
        <v>95</v>
      </c>
      <c r="G288" s="16" t="s">
        <v>42</v>
      </c>
      <c r="H288" s="16" t="s">
        <v>148</v>
      </c>
      <c r="I288" s="16" t="s">
        <v>112</v>
      </c>
      <c r="J288" s="16">
        <v>19</v>
      </c>
      <c r="K288" s="18">
        <v>11890</v>
      </c>
      <c r="L288" s="18">
        <v>225910</v>
      </c>
      <c r="M288" s="18">
        <v>152658.26999999999</v>
      </c>
      <c r="N288" s="18">
        <v>73251.73</v>
      </c>
      <c r="O288" s="19">
        <v>0.32429999999999998</v>
      </c>
      <c r="P288" s="16" t="s">
        <v>80</v>
      </c>
    </row>
    <row r="289" spans="1:16" x14ac:dyDescent="0.3">
      <c r="A289" s="20" t="s">
        <v>425</v>
      </c>
      <c r="B289" s="21">
        <v>45573</v>
      </c>
      <c r="C289" s="20" t="s">
        <v>107</v>
      </c>
      <c r="D289" s="20" t="s">
        <v>57</v>
      </c>
      <c r="E289" s="20" t="s">
        <v>33</v>
      </c>
      <c r="F289" s="20" t="s">
        <v>99</v>
      </c>
      <c r="G289" s="20" t="s">
        <v>42</v>
      </c>
      <c r="H289" s="20" t="s">
        <v>114</v>
      </c>
      <c r="I289" s="20" t="s">
        <v>85</v>
      </c>
      <c r="J289" s="20">
        <v>12</v>
      </c>
      <c r="K289" s="22">
        <v>11810</v>
      </c>
      <c r="L289" s="22">
        <v>141720</v>
      </c>
      <c r="M289" s="22">
        <v>98608.16</v>
      </c>
      <c r="N289" s="22">
        <v>43111.839999999997</v>
      </c>
      <c r="O289" s="23">
        <v>0.30420000000000003</v>
      </c>
      <c r="P289" s="20" t="s">
        <v>80</v>
      </c>
    </row>
    <row r="290" spans="1:16" x14ac:dyDescent="0.3">
      <c r="A290" s="16" t="s">
        <v>426</v>
      </c>
      <c r="B290" s="17">
        <v>45517</v>
      </c>
      <c r="C290" s="16" t="s">
        <v>90</v>
      </c>
      <c r="D290" s="16" t="s">
        <v>56</v>
      </c>
      <c r="E290" s="16" t="s">
        <v>33</v>
      </c>
      <c r="F290" s="16" t="s">
        <v>99</v>
      </c>
      <c r="G290" s="16" t="s">
        <v>41</v>
      </c>
      <c r="H290" s="16" t="s">
        <v>169</v>
      </c>
      <c r="I290" s="16" t="s">
        <v>85</v>
      </c>
      <c r="J290" s="16">
        <v>2</v>
      </c>
      <c r="K290" s="18">
        <v>16990</v>
      </c>
      <c r="L290" s="18">
        <v>33980</v>
      </c>
      <c r="M290" s="18">
        <v>22257.81</v>
      </c>
      <c r="N290" s="18">
        <v>11722.19</v>
      </c>
      <c r="O290" s="19">
        <v>0.34499999999999997</v>
      </c>
      <c r="P290" s="16" t="s">
        <v>80</v>
      </c>
    </row>
    <row r="291" spans="1:16" x14ac:dyDescent="0.3">
      <c r="A291" s="20" t="s">
        <v>427</v>
      </c>
      <c r="B291" s="21">
        <v>45336</v>
      </c>
      <c r="C291" s="20" t="s">
        <v>82</v>
      </c>
      <c r="D291" s="20" t="s">
        <v>53</v>
      </c>
      <c r="E291" s="20" t="s">
        <v>32</v>
      </c>
      <c r="F291" s="20" t="s">
        <v>145</v>
      </c>
      <c r="G291" s="20" t="s">
        <v>39</v>
      </c>
      <c r="H291" s="20" t="s">
        <v>87</v>
      </c>
      <c r="I291" s="20" t="s">
        <v>140</v>
      </c>
      <c r="J291" s="20">
        <v>20</v>
      </c>
      <c r="K291" s="22">
        <v>3600</v>
      </c>
      <c r="L291" s="22">
        <v>72000</v>
      </c>
      <c r="M291" s="22">
        <v>38644.050000000003</v>
      </c>
      <c r="N291" s="22">
        <v>33355.949999999997</v>
      </c>
      <c r="O291" s="23">
        <v>0.46329999999999999</v>
      </c>
      <c r="P291" s="20" t="s">
        <v>80</v>
      </c>
    </row>
    <row r="292" spans="1:16" x14ac:dyDescent="0.3">
      <c r="A292" s="16" t="s">
        <v>428</v>
      </c>
      <c r="B292" s="17">
        <v>45363</v>
      </c>
      <c r="C292" s="16" t="s">
        <v>122</v>
      </c>
      <c r="D292" s="16" t="s">
        <v>53</v>
      </c>
      <c r="E292" s="16" t="s">
        <v>30</v>
      </c>
      <c r="F292" s="16" t="s">
        <v>126</v>
      </c>
      <c r="G292" s="16" t="s">
        <v>38</v>
      </c>
      <c r="H292" s="16" t="s">
        <v>223</v>
      </c>
      <c r="I292" s="16" t="s">
        <v>131</v>
      </c>
      <c r="J292" s="16">
        <v>18</v>
      </c>
      <c r="K292" s="18">
        <v>26080</v>
      </c>
      <c r="L292" s="18">
        <v>469440</v>
      </c>
      <c r="M292" s="18">
        <v>381730.89</v>
      </c>
      <c r="N292" s="18">
        <v>87709.11</v>
      </c>
      <c r="O292" s="19">
        <v>0.18679999999999999</v>
      </c>
      <c r="P292" s="16" t="s">
        <v>80</v>
      </c>
    </row>
    <row r="293" spans="1:16" x14ac:dyDescent="0.3">
      <c r="A293" s="20" t="s">
        <v>429</v>
      </c>
      <c r="B293" s="21">
        <v>45441</v>
      </c>
      <c r="C293" s="20" t="s">
        <v>13</v>
      </c>
      <c r="D293" s="20" t="s">
        <v>55</v>
      </c>
      <c r="E293" s="20" t="s">
        <v>31</v>
      </c>
      <c r="F293" s="20" t="s">
        <v>208</v>
      </c>
      <c r="G293" s="20" t="s">
        <v>40</v>
      </c>
      <c r="H293" s="20" t="s">
        <v>78</v>
      </c>
      <c r="I293" s="20" t="s">
        <v>93</v>
      </c>
      <c r="J293" s="20">
        <v>14</v>
      </c>
      <c r="K293" s="22">
        <v>1930</v>
      </c>
      <c r="L293" s="22">
        <v>27020</v>
      </c>
      <c r="M293" s="22">
        <v>21024.89</v>
      </c>
      <c r="N293" s="22">
        <v>5995.11</v>
      </c>
      <c r="O293" s="23">
        <v>0.22189999999999999</v>
      </c>
      <c r="P293" s="20" t="s">
        <v>80</v>
      </c>
    </row>
    <row r="294" spans="1:16" x14ac:dyDescent="0.3">
      <c r="A294" s="16" t="s">
        <v>430</v>
      </c>
      <c r="B294" s="17">
        <v>45627</v>
      </c>
      <c r="C294" s="16" t="s">
        <v>175</v>
      </c>
      <c r="D294" s="16" t="s">
        <v>57</v>
      </c>
      <c r="E294" s="16" t="s">
        <v>30</v>
      </c>
      <c r="F294" s="16" t="s">
        <v>108</v>
      </c>
      <c r="G294" s="16" t="s">
        <v>39</v>
      </c>
      <c r="H294" s="16" t="s">
        <v>105</v>
      </c>
      <c r="I294" s="16" t="s">
        <v>109</v>
      </c>
      <c r="J294" s="16">
        <v>8</v>
      </c>
      <c r="K294" s="18">
        <v>3700</v>
      </c>
      <c r="L294" s="18">
        <v>29600</v>
      </c>
      <c r="M294" s="18">
        <v>15506.04</v>
      </c>
      <c r="N294" s="18">
        <v>14093.96</v>
      </c>
      <c r="O294" s="19">
        <v>0.47610000000000002</v>
      </c>
      <c r="P294" s="16" t="s">
        <v>80</v>
      </c>
    </row>
    <row r="295" spans="1:16" x14ac:dyDescent="0.3">
      <c r="A295" s="20" t="s">
        <v>431</v>
      </c>
      <c r="B295" s="21">
        <v>45542</v>
      </c>
      <c r="C295" s="20" t="s">
        <v>202</v>
      </c>
      <c r="D295" s="20" t="s">
        <v>56</v>
      </c>
      <c r="E295" s="20" t="s">
        <v>30</v>
      </c>
      <c r="F295" s="20" t="s">
        <v>108</v>
      </c>
      <c r="G295" s="20" t="s">
        <v>40</v>
      </c>
      <c r="H295" s="20" t="s">
        <v>159</v>
      </c>
      <c r="I295" s="20" t="s">
        <v>131</v>
      </c>
      <c r="J295" s="20">
        <v>3</v>
      </c>
      <c r="K295" s="22">
        <v>1010</v>
      </c>
      <c r="L295" s="22">
        <v>3030</v>
      </c>
      <c r="M295" s="22">
        <v>2514.04</v>
      </c>
      <c r="N295" s="22">
        <v>515.96</v>
      </c>
      <c r="O295" s="23">
        <v>0.17030000000000001</v>
      </c>
      <c r="P295" s="20" t="s">
        <v>80</v>
      </c>
    </row>
    <row r="296" spans="1:16" x14ac:dyDescent="0.3">
      <c r="A296" s="16" t="s">
        <v>432</v>
      </c>
      <c r="B296" s="17">
        <v>45647</v>
      </c>
      <c r="C296" s="16" t="s">
        <v>175</v>
      </c>
      <c r="D296" s="16" t="s">
        <v>57</v>
      </c>
      <c r="E296" s="16" t="s">
        <v>31</v>
      </c>
      <c r="F296" s="16" t="s">
        <v>91</v>
      </c>
      <c r="G296" s="16" t="s">
        <v>41</v>
      </c>
      <c r="H296" s="16" t="s">
        <v>178</v>
      </c>
      <c r="I296" s="16" t="s">
        <v>112</v>
      </c>
      <c r="J296" s="16">
        <v>3</v>
      </c>
      <c r="K296" s="18">
        <v>3120</v>
      </c>
      <c r="L296" s="18">
        <v>9360</v>
      </c>
      <c r="M296" s="18">
        <v>5867.85</v>
      </c>
      <c r="N296" s="18">
        <v>3492.15</v>
      </c>
      <c r="O296" s="19">
        <v>0.37309999999999999</v>
      </c>
      <c r="P296" s="16" t="s">
        <v>80</v>
      </c>
    </row>
    <row r="297" spans="1:16" x14ac:dyDescent="0.3">
      <c r="A297" s="20" t="s">
        <v>433</v>
      </c>
      <c r="B297" s="21">
        <v>45632</v>
      </c>
      <c r="C297" s="20" t="s">
        <v>175</v>
      </c>
      <c r="D297" s="20" t="s">
        <v>57</v>
      </c>
      <c r="E297" s="20" t="s">
        <v>31</v>
      </c>
      <c r="F297" s="20" t="s">
        <v>95</v>
      </c>
      <c r="G297" s="20" t="s">
        <v>42</v>
      </c>
      <c r="H297" s="20" t="s">
        <v>148</v>
      </c>
      <c r="I297" s="20" t="s">
        <v>112</v>
      </c>
      <c r="J297" s="20">
        <v>7</v>
      </c>
      <c r="K297" s="22">
        <v>14550</v>
      </c>
      <c r="L297" s="22">
        <v>101850</v>
      </c>
      <c r="M297" s="22">
        <v>71348.83</v>
      </c>
      <c r="N297" s="22">
        <v>30501.17</v>
      </c>
      <c r="O297" s="23">
        <v>0.29949999999999999</v>
      </c>
      <c r="P297" s="20" t="s">
        <v>80</v>
      </c>
    </row>
    <row r="298" spans="1:16" x14ac:dyDescent="0.3">
      <c r="A298" s="16" t="s">
        <v>434</v>
      </c>
      <c r="B298" s="17">
        <v>45437</v>
      </c>
      <c r="C298" s="16" t="s">
        <v>13</v>
      </c>
      <c r="D298" s="16" t="s">
        <v>55</v>
      </c>
      <c r="E298" s="16" t="s">
        <v>31</v>
      </c>
      <c r="F298" s="16" t="s">
        <v>208</v>
      </c>
      <c r="G298" s="16" t="s">
        <v>42</v>
      </c>
      <c r="H298" s="16" t="s">
        <v>133</v>
      </c>
      <c r="I298" s="16" t="s">
        <v>93</v>
      </c>
      <c r="J298" s="16">
        <v>11</v>
      </c>
      <c r="K298" s="18">
        <v>12900</v>
      </c>
      <c r="L298" s="18">
        <v>141900</v>
      </c>
      <c r="M298" s="18">
        <v>93736.95</v>
      </c>
      <c r="N298" s="18">
        <v>48163.05</v>
      </c>
      <c r="O298" s="19">
        <v>0.33939999999999998</v>
      </c>
      <c r="P298" s="16" t="s">
        <v>80</v>
      </c>
    </row>
    <row r="299" spans="1:16" x14ac:dyDescent="0.3">
      <c r="A299" s="20" t="s">
        <v>435</v>
      </c>
      <c r="B299" s="21">
        <v>45315</v>
      </c>
      <c r="C299" s="20" t="s">
        <v>116</v>
      </c>
      <c r="D299" s="20" t="s">
        <v>53</v>
      </c>
      <c r="E299" s="20" t="s">
        <v>29</v>
      </c>
      <c r="F299" s="20" t="s">
        <v>150</v>
      </c>
      <c r="G299" s="20" t="s">
        <v>41</v>
      </c>
      <c r="H299" s="20" t="s">
        <v>163</v>
      </c>
      <c r="I299" s="20" t="s">
        <v>79</v>
      </c>
      <c r="J299" s="20">
        <v>6</v>
      </c>
      <c r="K299" s="22">
        <v>46680</v>
      </c>
      <c r="L299" s="22">
        <v>280080</v>
      </c>
      <c r="M299" s="22">
        <v>183696.46</v>
      </c>
      <c r="N299" s="22">
        <v>96383.54</v>
      </c>
      <c r="O299" s="23">
        <v>0.34410000000000002</v>
      </c>
      <c r="P299" s="20" t="s">
        <v>110</v>
      </c>
    </row>
    <row r="300" spans="1:16" x14ac:dyDescent="0.3">
      <c r="A300" s="16" t="s">
        <v>436</v>
      </c>
      <c r="B300" s="17">
        <v>45511</v>
      </c>
      <c r="C300" s="16" t="s">
        <v>90</v>
      </c>
      <c r="D300" s="16" t="s">
        <v>56</v>
      </c>
      <c r="E300" s="16" t="s">
        <v>30</v>
      </c>
      <c r="F300" s="16" t="s">
        <v>108</v>
      </c>
      <c r="G300" s="16" t="s">
        <v>39</v>
      </c>
      <c r="H300" s="16" t="s">
        <v>105</v>
      </c>
      <c r="I300" s="16" t="s">
        <v>131</v>
      </c>
      <c r="J300" s="16">
        <v>9</v>
      </c>
      <c r="K300" s="18">
        <v>4430</v>
      </c>
      <c r="L300" s="18">
        <v>39870</v>
      </c>
      <c r="M300" s="18">
        <v>23549.85</v>
      </c>
      <c r="N300" s="18">
        <v>16320.15</v>
      </c>
      <c r="O300" s="19">
        <v>0.4093</v>
      </c>
      <c r="P300" s="16" t="s">
        <v>80</v>
      </c>
    </row>
    <row r="301" spans="1:16" x14ac:dyDescent="0.3">
      <c r="A301" s="20" t="s">
        <v>437</v>
      </c>
      <c r="B301" s="21">
        <v>45334</v>
      </c>
      <c r="C301" s="20" t="s">
        <v>82</v>
      </c>
      <c r="D301" s="20" t="s">
        <v>53</v>
      </c>
      <c r="E301" s="20" t="s">
        <v>31</v>
      </c>
      <c r="F301" s="20" t="s">
        <v>208</v>
      </c>
      <c r="G301" s="20" t="s">
        <v>39</v>
      </c>
      <c r="H301" s="20" t="s">
        <v>137</v>
      </c>
      <c r="I301" s="20" t="s">
        <v>93</v>
      </c>
      <c r="J301" s="20">
        <v>8</v>
      </c>
      <c r="K301" s="22">
        <v>3320</v>
      </c>
      <c r="L301" s="22">
        <v>26560</v>
      </c>
      <c r="M301" s="22">
        <v>14795.96</v>
      </c>
      <c r="N301" s="22">
        <v>11764.04</v>
      </c>
      <c r="O301" s="23">
        <v>0.44290000000000002</v>
      </c>
      <c r="P301" s="20" t="s">
        <v>80</v>
      </c>
    </row>
    <row r="302" spans="1:16" x14ac:dyDescent="0.3">
      <c r="A302" s="16" t="s">
        <v>438</v>
      </c>
      <c r="B302" s="17">
        <v>45340</v>
      </c>
      <c r="C302" s="16" t="s">
        <v>82</v>
      </c>
      <c r="D302" s="16" t="s">
        <v>53</v>
      </c>
      <c r="E302" s="16" t="s">
        <v>29</v>
      </c>
      <c r="F302" s="16" t="s">
        <v>77</v>
      </c>
      <c r="G302" s="16" t="s">
        <v>41</v>
      </c>
      <c r="H302" s="16" t="s">
        <v>169</v>
      </c>
      <c r="I302" s="16" t="s">
        <v>79</v>
      </c>
      <c r="J302" s="16">
        <v>17</v>
      </c>
      <c r="K302" s="18">
        <v>30900</v>
      </c>
      <c r="L302" s="18">
        <v>525300</v>
      </c>
      <c r="M302" s="18">
        <v>331990.51</v>
      </c>
      <c r="N302" s="18">
        <v>193309.49</v>
      </c>
      <c r="O302" s="19">
        <v>0.36799999999999999</v>
      </c>
      <c r="P302" s="16" t="s">
        <v>110</v>
      </c>
    </row>
    <row r="303" spans="1:16" x14ac:dyDescent="0.3">
      <c r="A303" s="20" t="s">
        <v>439</v>
      </c>
      <c r="B303" s="21">
        <v>45648</v>
      </c>
      <c r="C303" s="20" t="s">
        <v>175</v>
      </c>
      <c r="D303" s="20" t="s">
        <v>57</v>
      </c>
      <c r="E303" s="20" t="s">
        <v>31</v>
      </c>
      <c r="F303" s="20" t="s">
        <v>95</v>
      </c>
      <c r="G303" s="20" t="s">
        <v>41</v>
      </c>
      <c r="H303" s="20" t="s">
        <v>96</v>
      </c>
      <c r="I303" s="20" t="s">
        <v>93</v>
      </c>
      <c r="J303" s="20">
        <v>13</v>
      </c>
      <c r="K303" s="22">
        <v>6330</v>
      </c>
      <c r="L303" s="22">
        <v>82290</v>
      </c>
      <c r="M303" s="22">
        <v>56867.89</v>
      </c>
      <c r="N303" s="22">
        <v>25422.11</v>
      </c>
      <c r="O303" s="23">
        <v>0.30890000000000001</v>
      </c>
      <c r="P303" s="20" t="s">
        <v>80</v>
      </c>
    </row>
    <row r="304" spans="1:16" x14ac:dyDescent="0.3">
      <c r="A304" s="16" t="s">
        <v>440</v>
      </c>
      <c r="B304" s="17">
        <v>45344</v>
      </c>
      <c r="C304" s="16" t="s">
        <v>82</v>
      </c>
      <c r="D304" s="16" t="s">
        <v>53</v>
      </c>
      <c r="E304" s="16" t="s">
        <v>31</v>
      </c>
      <c r="F304" s="16" t="s">
        <v>91</v>
      </c>
      <c r="G304" s="16" t="s">
        <v>40</v>
      </c>
      <c r="H304" s="16" t="s">
        <v>159</v>
      </c>
      <c r="I304" s="16" t="s">
        <v>93</v>
      </c>
      <c r="J304" s="16">
        <v>5</v>
      </c>
      <c r="K304" s="18">
        <v>1590</v>
      </c>
      <c r="L304" s="18">
        <v>7950</v>
      </c>
      <c r="M304" s="18">
        <v>6406.45</v>
      </c>
      <c r="N304" s="18">
        <v>1543.55</v>
      </c>
      <c r="O304" s="19">
        <v>0.19420000000000001</v>
      </c>
      <c r="P304" s="16" t="s">
        <v>80</v>
      </c>
    </row>
    <row r="305" spans="1:16" x14ac:dyDescent="0.3">
      <c r="A305" s="20" t="s">
        <v>441</v>
      </c>
      <c r="B305" s="21">
        <v>45327</v>
      </c>
      <c r="C305" s="20" t="s">
        <v>82</v>
      </c>
      <c r="D305" s="20" t="s">
        <v>53</v>
      </c>
      <c r="E305" s="20" t="s">
        <v>33</v>
      </c>
      <c r="F305" s="20" t="s">
        <v>104</v>
      </c>
      <c r="G305" s="20" t="s">
        <v>38</v>
      </c>
      <c r="H305" s="20" t="s">
        <v>123</v>
      </c>
      <c r="I305" s="20" t="s">
        <v>85</v>
      </c>
      <c r="J305" s="20">
        <v>7</v>
      </c>
      <c r="K305" s="22">
        <v>31340</v>
      </c>
      <c r="L305" s="22">
        <v>219380</v>
      </c>
      <c r="M305" s="22">
        <v>168306.58</v>
      </c>
      <c r="N305" s="22">
        <v>51073.42</v>
      </c>
      <c r="O305" s="23">
        <v>0.23280000000000001</v>
      </c>
      <c r="P305" s="20" t="s">
        <v>80</v>
      </c>
    </row>
    <row r="306" spans="1:16" x14ac:dyDescent="0.3">
      <c r="A306" s="16" t="s">
        <v>442</v>
      </c>
      <c r="B306" s="17">
        <v>45502</v>
      </c>
      <c r="C306" s="16" t="s">
        <v>98</v>
      </c>
      <c r="D306" s="16" t="s">
        <v>56</v>
      </c>
      <c r="E306" s="16" t="s">
        <v>33</v>
      </c>
      <c r="F306" s="16" t="s">
        <v>104</v>
      </c>
      <c r="G306" s="16" t="s">
        <v>41</v>
      </c>
      <c r="H306" s="16" t="s">
        <v>163</v>
      </c>
      <c r="I306" s="16" t="s">
        <v>85</v>
      </c>
      <c r="J306" s="16">
        <v>5</v>
      </c>
      <c r="K306" s="18">
        <v>45140</v>
      </c>
      <c r="L306" s="18">
        <v>225700</v>
      </c>
      <c r="M306" s="18">
        <v>141007.29999999999</v>
      </c>
      <c r="N306" s="18">
        <v>84692.7</v>
      </c>
      <c r="O306" s="19">
        <v>0.37519999999999998</v>
      </c>
      <c r="P306" s="16" t="s">
        <v>80</v>
      </c>
    </row>
    <row r="307" spans="1:16" x14ac:dyDescent="0.3">
      <c r="A307" s="20" t="s">
        <v>443</v>
      </c>
      <c r="B307" s="21">
        <v>45488</v>
      </c>
      <c r="C307" s="20" t="s">
        <v>98</v>
      </c>
      <c r="D307" s="20" t="s">
        <v>56</v>
      </c>
      <c r="E307" s="20" t="s">
        <v>31</v>
      </c>
      <c r="F307" s="20" t="s">
        <v>91</v>
      </c>
      <c r="G307" s="20" t="s">
        <v>40</v>
      </c>
      <c r="H307" s="20" t="s">
        <v>78</v>
      </c>
      <c r="I307" s="20" t="s">
        <v>93</v>
      </c>
      <c r="J307" s="20">
        <v>3</v>
      </c>
      <c r="K307" s="22">
        <v>700</v>
      </c>
      <c r="L307" s="22">
        <v>2100</v>
      </c>
      <c r="M307" s="22">
        <v>1774.88</v>
      </c>
      <c r="N307" s="22">
        <v>325.12</v>
      </c>
      <c r="O307" s="23">
        <v>0.15479999999999999</v>
      </c>
      <c r="P307" s="20" t="s">
        <v>80</v>
      </c>
    </row>
    <row r="308" spans="1:16" x14ac:dyDescent="0.3">
      <c r="A308" s="16" t="s">
        <v>444</v>
      </c>
      <c r="B308" s="17">
        <v>45603</v>
      </c>
      <c r="C308" s="16" t="s">
        <v>76</v>
      </c>
      <c r="D308" s="16" t="s">
        <v>57</v>
      </c>
      <c r="E308" s="16" t="s">
        <v>31</v>
      </c>
      <c r="F308" s="16" t="s">
        <v>208</v>
      </c>
      <c r="G308" s="16" t="s">
        <v>38</v>
      </c>
      <c r="H308" s="16" t="s">
        <v>100</v>
      </c>
      <c r="I308" s="16" t="s">
        <v>112</v>
      </c>
      <c r="J308" s="16">
        <v>17</v>
      </c>
      <c r="K308" s="18">
        <v>43830</v>
      </c>
      <c r="L308" s="18">
        <v>745110</v>
      </c>
      <c r="M308" s="18">
        <v>604385.06000000006</v>
      </c>
      <c r="N308" s="18">
        <v>140724.94</v>
      </c>
      <c r="O308" s="19">
        <v>0.18890000000000001</v>
      </c>
      <c r="P308" s="16" t="s">
        <v>80</v>
      </c>
    </row>
    <row r="309" spans="1:16" x14ac:dyDescent="0.3">
      <c r="A309" s="20" t="s">
        <v>445</v>
      </c>
      <c r="B309" s="21">
        <v>45622</v>
      </c>
      <c r="C309" s="20" t="s">
        <v>76</v>
      </c>
      <c r="D309" s="20" t="s">
        <v>57</v>
      </c>
      <c r="E309" s="20" t="s">
        <v>29</v>
      </c>
      <c r="F309" s="20" t="s">
        <v>77</v>
      </c>
      <c r="G309" s="20" t="s">
        <v>41</v>
      </c>
      <c r="H309" s="20" t="s">
        <v>163</v>
      </c>
      <c r="I309" s="20" t="s">
        <v>117</v>
      </c>
      <c r="J309" s="20">
        <v>20</v>
      </c>
      <c r="K309" s="22">
        <v>14330</v>
      </c>
      <c r="L309" s="22">
        <v>286600</v>
      </c>
      <c r="M309" s="22">
        <v>198584.8</v>
      </c>
      <c r="N309" s="22">
        <v>88015.2</v>
      </c>
      <c r="O309" s="23">
        <v>0.30709999999999998</v>
      </c>
      <c r="P309" s="20" t="s">
        <v>80</v>
      </c>
    </row>
    <row r="310" spans="1:16" x14ac:dyDescent="0.3">
      <c r="A310" s="16" t="s">
        <v>446</v>
      </c>
      <c r="B310" s="17">
        <v>45298</v>
      </c>
      <c r="C310" s="16" t="s">
        <v>116</v>
      </c>
      <c r="D310" s="16" t="s">
        <v>53</v>
      </c>
      <c r="E310" s="16" t="s">
        <v>31</v>
      </c>
      <c r="F310" s="16" t="s">
        <v>91</v>
      </c>
      <c r="G310" s="16" t="s">
        <v>39</v>
      </c>
      <c r="H310" s="16" t="s">
        <v>87</v>
      </c>
      <c r="I310" s="16" t="s">
        <v>112</v>
      </c>
      <c r="J310" s="16">
        <v>18</v>
      </c>
      <c r="K310" s="18">
        <v>2390</v>
      </c>
      <c r="L310" s="18">
        <v>43020</v>
      </c>
      <c r="M310" s="18">
        <v>22873.98</v>
      </c>
      <c r="N310" s="18">
        <v>20146.02</v>
      </c>
      <c r="O310" s="19">
        <v>0.46829999999999999</v>
      </c>
      <c r="P310" s="16" t="s">
        <v>80</v>
      </c>
    </row>
    <row r="311" spans="1:16" x14ac:dyDescent="0.3">
      <c r="A311" s="20" t="s">
        <v>447</v>
      </c>
      <c r="B311" s="21">
        <v>45329</v>
      </c>
      <c r="C311" s="20" t="s">
        <v>82</v>
      </c>
      <c r="D311" s="20" t="s">
        <v>53</v>
      </c>
      <c r="E311" s="20" t="s">
        <v>29</v>
      </c>
      <c r="F311" s="20" t="s">
        <v>150</v>
      </c>
      <c r="G311" s="20" t="s">
        <v>38</v>
      </c>
      <c r="H311" s="20" t="s">
        <v>119</v>
      </c>
      <c r="I311" s="20" t="s">
        <v>79</v>
      </c>
      <c r="J311" s="20">
        <v>2</v>
      </c>
      <c r="K311" s="22">
        <v>21180</v>
      </c>
      <c r="L311" s="22">
        <v>42360</v>
      </c>
      <c r="M311" s="22">
        <v>31140.19</v>
      </c>
      <c r="N311" s="22">
        <v>11219.81</v>
      </c>
      <c r="O311" s="23">
        <v>0.26490000000000002</v>
      </c>
      <c r="P311" s="20" t="s">
        <v>80</v>
      </c>
    </row>
    <row r="312" spans="1:16" x14ac:dyDescent="0.3">
      <c r="A312" s="16" t="s">
        <v>448</v>
      </c>
      <c r="B312" s="17">
        <v>45438</v>
      </c>
      <c r="C312" s="16" t="s">
        <v>13</v>
      </c>
      <c r="D312" s="16" t="s">
        <v>55</v>
      </c>
      <c r="E312" s="16" t="s">
        <v>33</v>
      </c>
      <c r="F312" s="16" t="s">
        <v>83</v>
      </c>
      <c r="G312" s="16" t="s">
        <v>41</v>
      </c>
      <c r="H312" s="16" t="s">
        <v>163</v>
      </c>
      <c r="I312" s="16" t="s">
        <v>88</v>
      </c>
      <c r="J312" s="16">
        <v>18</v>
      </c>
      <c r="K312" s="18">
        <v>33110</v>
      </c>
      <c r="L312" s="18">
        <v>595980</v>
      </c>
      <c r="M312" s="18">
        <v>380470.83</v>
      </c>
      <c r="N312" s="18">
        <v>215509.17</v>
      </c>
      <c r="O312" s="19">
        <v>0.36159999999999998</v>
      </c>
      <c r="P312" s="16" t="s">
        <v>80</v>
      </c>
    </row>
    <row r="313" spans="1:16" x14ac:dyDescent="0.3">
      <c r="A313" s="20" t="s">
        <v>449</v>
      </c>
      <c r="B313" s="21">
        <v>45450</v>
      </c>
      <c r="C313" s="20" t="s">
        <v>125</v>
      </c>
      <c r="D313" s="20" t="s">
        <v>55</v>
      </c>
      <c r="E313" s="20" t="s">
        <v>29</v>
      </c>
      <c r="F313" s="20" t="s">
        <v>150</v>
      </c>
      <c r="G313" s="20" t="s">
        <v>39</v>
      </c>
      <c r="H313" s="20" t="s">
        <v>87</v>
      </c>
      <c r="I313" s="20" t="s">
        <v>79</v>
      </c>
      <c r="J313" s="20">
        <v>19</v>
      </c>
      <c r="K313" s="22">
        <v>1970</v>
      </c>
      <c r="L313" s="22">
        <v>37430</v>
      </c>
      <c r="M313" s="22">
        <v>20083.84</v>
      </c>
      <c r="N313" s="22">
        <v>17346.16</v>
      </c>
      <c r="O313" s="23">
        <v>0.46339999999999998</v>
      </c>
      <c r="P313" s="20" t="s">
        <v>80</v>
      </c>
    </row>
    <row r="314" spans="1:16" x14ac:dyDescent="0.3">
      <c r="A314" s="16" t="s">
        <v>450</v>
      </c>
      <c r="B314" s="17">
        <v>45640</v>
      </c>
      <c r="C314" s="16" t="s">
        <v>175</v>
      </c>
      <c r="D314" s="16" t="s">
        <v>57</v>
      </c>
      <c r="E314" s="16" t="s">
        <v>29</v>
      </c>
      <c r="F314" s="16" t="s">
        <v>135</v>
      </c>
      <c r="G314" s="16" t="s">
        <v>41</v>
      </c>
      <c r="H314" s="16" t="s">
        <v>163</v>
      </c>
      <c r="I314" s="16" t="s">
        <v>79</v>
      </c>
      <c r="J314" s="16">
        <v>14</v>
      </c>
      <c r="K314" s="18">
        <v>14490</v>
      </c>
      <c r="L314" s="18">
        <v>202860</v>
      </c>
      <c r="M314" s="18">
        <v>139649.1</v>
      </c>
      <c r="N314" s="18">
        <v>63210.9</v>
      </c>
      <c r="O314" s="19">
        <v>0.31159999999999999</v>
      </c>
      <c r="P314" s="16" t="s">
        <v>80</v>
      </c>
    </row>
    <row r="315" spans="1:16" x14ac:dyDescent="0.3">
      <c r="A315" s="20" t="s">
        <v>451</v>
      </c>
      <c r="B315" s="21">
        <v>45320</v>
      </c>
      <c r="C315" s="20" t="s">
        <v>116</v>
      </c>
      <c r="D315" s="20" t="s">
        <v>53</v>
      </c>
      <c r="E315" s="20" t="s">
        <v>31</v>
      </c>
      <c r="F315" s="20" t="s">
        <v>208</v>
      </c>
      <c r="G315" s="20" t="s">
        <v>39</v>
      </c>
      <c r="H315" s="20" t="s">
        <v>127</v>
      </c>
      <c r="I315" s="20" t="s">
        <v>93</v>
      </c>
      <c r="J315" s="20">
        <v>1</v>
      </c>
      <c r="K315" s="22">
        <v>3690</v>
      </c>
      <c r="L315" s="22">
        <v>3690</v>
      </c>
      <c r="M315" s="22">
        <v>2153.5500000000002</v>
      </c>
      <c r="N315" s="22">
        <v>1536.45</v>
      </c>
      <c r="O315" s="23">
        <v>0.41639999999999999</v>
      </c>
      <c r="P315" s="20" t="s">
        <v>80</v>
      </c>
    </row>
    <row r="316" spans="1:16" x14ac:dyDescent="0.3">
      <c r="A316" s="16" t="s">
        <v>452</v>
      </c>
      <c r="B316" s="17">
        <v>45559</v>
      </c>
      <c r="C316" s="16" t="s">
        <v>202</v>
      </c>
      <c r="D316" s="16" t="s">
        <v>56</v>
      </c>
      <c r="E316" s="16" t="s">
        <v>33</v>
      </c>
      <c r="F316" s="16" t="s">
        <v>104</v>
      </c>
      <c r="G316" s="16" t="s">
        <v>40</v>
      </c>
      <c r="H316" s="16" t="s">
        <v>102</v>
      </c>
      <c r="I316" s="16" t="s">
        <v>85</v>
      </c>
      <c r="J316" s="16">
        <v>9</v>
      </c>
      <c r="K316" s="18">
        <v>430</v>
      </c>
      <c r="L316" s="18">
        <v>3870</v>
      </c>
      <c r="M316" s="18">
        <v>3083.25</v>
      </c>
      <c r="N316" s="18">
        <v>786.75</v>
      </c>
      <c r="O316" s="19">
        <v>0.20330000000000001</v>
      </c>
      <c r="P316" s="16" t="s">
        <v>80</v>
      </c>
    </row>
    <row r="317" spans="1:16" x14ac:dyDescent="0.3">
      <c r="A317" s="20" t="s">
        <v>453</v>
      </c>
      <c r="B317" s="21">
        <v>45307</v>
      </c>
      <c r="C317" s="20" t="s">
        <v>116</v>
      </c>
      <c r="D317" s="20" t="s">
        <v>53</v>
      </c>
      <c r="E317" s="20" t="s">
        <v>31</v>
      </c>
      <c r="F317" s="20" t="s">
        <v>91</v>
      </c>
      <c r="G317" s="20" t="s">
        <v>40</v>
      </c>
      <c r="H317" s="20" t="s">
        <v>102</v>
      </c>
      <c r="I317" s="20" t="s">
        <v>93</v>
      </c>
      <c r="J317" s="20">
        <v>19</v>
      </c>
      <c r="K317" s="22">
        <v>1480</v>
      </c>
      <c r="L317" s="22">
        <v>28120</v>
      </c>
      <c r="M317" s="22">
        <v>22699.78</v>
      </c>
      <c r="N317" s="22">
        <v>5420.22</v>
      </c>
      <c r="O317" s="23">
        <v>0.1928</v>
      </c>
      <c r="P317" s="20" t="s">
        <v>80</v>
      </c>
    </row>
    <row r="318" spans="1:16" x14ac:dyDescent="0.3">
      <c r="A318" s="16" t="s">
        <v>454</v>
      </c>
      <c r="B318" s="17">
        <v>45553</v>
      </c>
      <c r="C318" s="16" t="s">
        <v>202</v>
      </c>
      <c r="D318" s="16" t="s">
        <v>56</v>
      </c>
      <c r="E318" s="16" t="s">
        <v>31</v>
      </c>
      <c r="F318" s="16" t="s">
        <v>95</v>
      </c>
      <c r="G318" s="16" t="s">
        <v>41</v>
      </c>
      <c r="H318" s="16" t="s">
        <v>129</v>
      </c>
      <c r="I318" s="16" t="s">
        <v>93</v>
      </c>
      <c r="J318" s="16">
        <v>4</v>
      </c>
      <c r="K318" s="18">
        <v>10390</v>
      </c>
      <c r="L318" s="18">
        <v>41560</v>
      </c>
      <c r="M318" s="18">
        <v>25375.42</v>
      </c>
      <c r="N318" s="18">
        <v>16184.58</v>
      </c>
      <c r="O318" s="19">
        <v>0.38940000000000002</v>
      </c>
      <c r="P318" s="16" t="s">
        <v>80</v>
      </c>
    </row>
    <row r="319" spans="1:16" x14ac:dyDescent="0.3">
      <c r="A319" s="20" t="s">
        <v>455</v>
      </c>
      <c r="B319" s="21">
        <v>45351</v>
      </c>
      <c r="C319" s="20" t="s">
        <v>82</v>
      </c>
      <c r="D319" s="20" t="s">
        <v>53</v>
      </c>
      <c r="E319" s="20" t="s">
        <v>30</v>
      </c>
      <c r="F319" s="20" t="s">
        <v>108</v>
      </c>
      <c r="G319" s="20" t="s">
        <v>42</v>
      </c>
      <c r="H319" s="20" t="s">
        <v>156</v>
      </c>
      <c r="I319" s="20" t="s">
        <v>109</v>
      </c>
      <c r="J319" s="20">
        <v>1</v>
      </c>
      <c r="K319" s="22">
        <v>12990</v>
      </c>
      <c r="L319" s="22">
        <v>12990</v>
      </c>
      <c r="M319" s="22">
        <v>9424.83</v>
      </c>
      <c r="N319" s="22">
        <v>3565.17</v>
      </c>
      <c r="O319" s="23">
        <v>0.27450000000000002</v>
      </c>
      <c r="P319" s="20" t="s">
        <v>80</v>
      </c>
    </row>
    <row r="320" spans="1:16" x14ac:dyDescent="0.3">
      <c r="A320" s="16" t="s">
        <v>456</v>
      </c>
      <c r="B320" s="17">
        <v>45488</v>
      </c>
      <c r="C320" s="16" t="s">
        <v>98</v>
      </c>
      <c r="D320" s="16" t="s">
        <v>56</v>
      </c>
      <c r="E320" s="16" t="s">
        <v>30</v>
      </c>
      <c r="F320" s="16" t="s">
        <v>126</v>
      </c>
      <c r="G320" s="16" t="s">
        <v>38</v>
      </c>
      <c r="H320" s="16" t="s">
        <v>100</v>
      </c>
      <c r="I320" s="16" t="s">
        <v>131</v>
      </c>
      <c r="J320" s="16">
        <v>14</v>
      </c>
      <c r="K320" s="18">
        <v>29140</v>
      </c>
      <c r="L320" s="18">
        <v>407960</v>
      </c>
      <c r="M320" s="18">
        <v>301243.59000000003</v>
      </c>
      <c r="N320" s="18">
        <v>106716.41</v>
      </c>
      <c r="O320" s="19">
        <v>0.2616</v>
      </c>
      <c r="P320" s="16" t="s">
        <v>80</v>
      </c>
    </row>
    <row r="321" spans="1:16" x14ac:dyDescent="0.3">
      <c r="A321" s="20" t="s">
        <v>457</v>
      </c>
      <c r="B321" s="21">
        <v>45331</v>
      </c>
      <c r="C321" s="20" t="s">
        <v>82</v>
      </c>
      <c r="D321" s="20" t="s">
        <v>53</v>
      </c>
      <c r="E321" s="20" t="s">
        <v>33</v>
      </c>
      <c r="F321" s="20" t="s">
        <v>83</v>
      </c>
      <c r="G321" s="20" t="s">
        <v>38</v>
      </c>
      <c r="H321" s="20" t="s">
        <v>100</v>
      </c>
      <c r="I321" s="20" t="s">
        <v>85</v>
      </c>
      <c r="J321" s="20">
        <v>17</v>
      </c>
      <c r="K321" s="22">
        <v>21740</v>
      </c>
      <c r="L321" s="22">
        <v>369580</v>
      </c>
      <c r="M321" s="22">
        <v>270480.31</v>
      </c>
      <c r="N321" s="22">
        <v>99099.69</v>
      </c>
      <c r="O321" s="23">
        <v>0.2681</v>
      </c>
      <c r="P321" s="20" t="s">
        <v>80</v>
      </c>
    </row>
    <row r="322" spans="1:16" x14ac:dyDescent="0.3">
      <c r="A322" s="16" t="s">
        <v>458</v>
      </c>
      <c r="B322" s="17">
        <v>45327</v>
      </c>
      <c r="C322" s="16" t="s">
        <v>82</v>
      </c>
      <c r="D322" s="16" t="s">
        <v>53</v>
      </c>
      <c r="E322" s="16" t="s">
        <v>32</v>
      </c>
      <c r="F322" s="16" t="s">
        <v>177</v>
      </c>
      <c r="G322" s="16" t="s">
        <v>40</v>
      </c>
      <c r="H322" s="16" t="s">
        <v>151</v>
      </c>
      <c r="I322" s="16" t="s">
        <v>146</v>
      </c>
      <c r="J322" s="16">
        <v>1</v>
      </c>
      <c r="K322" s="18">
        <v>1200</v>
      </c>
      <c r="L322" s="18">
        <v>1200</v>
      </c>
      <c r="M322" s="18">
        <v>999.73</v>
      </c>
      <c r="N322" s="18">
        <v>200.27</v>
      </c>
      <c r="O322" s="19">
        <v>0.16689999999999999</v>
      </c>
      <c r="P322" s="16" t="s">
        <v>80</v>
      </c>
    </row>
    <row r="323" spans="1:16" x14ac:dyDescent="0.3">
      <c r="A323" s="20" t="s">
        <v>459</v>
      </c>
      <c r="B323" s="21">
        <v>45447</v>
      </c>
      <c r="C323" s="20" t="s">
        <v>125</v>
      </c>
      <c r="D323" s="20" t="s">
        <v>55</v>
      </c>
      <c r="E323" s="20" t="s">
        <v>33</v>
      </c>
      <c r="F323" s="20" t="s">
        <v>99</v>
      </c>
      <c r="G323" s="20" t="s">
        <v>41</v>
      </c>
      <c r="H323" s="20" t="s">
        <v>178</v>
      </c>
      <c r="I323" s="20" t="s">
        <v>88</v>
      </c>
      <c r="J323" s="20">
        <v>7</v>
      </c>
      <c r="K323" s="22">
        <v>48680</v>
      </c>
      <c r="L323" s="22">
        <v>340760</v>
      </c>
      <c r="M323" s="22">
        <v>213572.58</v>
      </c>
      <c r="N323" s="22">
        <v>127187.42</v>
      </c>
      <c r="O323" s="23">
        <v>0.37319999999999998</v>
      </c>
      <c r="P323" s="20" t="s">
        <v>80</v>
      </c>
    </row>
    <row r="324" spans="1:16" x14ac:dyDescent="0.3">
      <c r="A324" s="16" t="s">
        <v>460</v>
      </c>
      <c r="B324" s="17">
        <v>45417</v>
      </c>
      <c r="C324" s="16" t="s">
        <v>13</v>
      </c>
      <c r="D324" s="16" t="s">
        <v>55</v>
      </c>
      <c r="E324" s="16" t="s">
        <v>30</v>
      </c>
      <c r="F324" s="16" t="s">
        <v>126</v>
      </c>
      <c r="G324" s="16" t="s">
        <v>41</v>
      </c>
      <c r="H324" s="16" t="s">
        <v>169</v>
      </c>
      <c r="I324" s="16" t="s">
        <v>109</v>
      </c>
      <c r="J324" s="16">
        <v>1</v>
      </c>
      <c r="K324" s="18">
        <v>28450</v>
      </c>
      <c r="L324" s="18">
        <v>28450</v>
      </c>
      <c r="M324" s="18">
        <v>17209.43</v>
      </c>
      <c r="N324" s="18">
        <v>11240.57</v>
      </c>
      <c r="O324" s="19">
        <v>0.39510000000000001</v>
      </c>
      <c r="P324" s="16" t="s">
        <v>110</v>
      </c>
    </row>
    <row r="325" spans="1:16" x14ac:dyDescent="0.3">
      <c r="A325" s="20" t="s">
        <v>461</v>
      </c>
      <c r="B325" s="21">
        <v>45628</v>
      </c>
      <c r="C325" s="20" t="s">
        <v>175</v>
      </c>
      <c r="D325" s="20" t="s">
        <v>57</v>
      </c>
      <c r="E325" s="20" t="s">
        <v>32</v>
      </c>
      <c r="F325" s="20" t="s">
        <v>139</v>
      </c>
      <c r="G325" s="20" t="s">
        <v>40</v>
      </c>
      <c r="H325" s="20" t="s">
        <v>78</v>
      </c>
      <c r="I325" s="20" t="s">
        <v>140</v>
      </c>
      <c r="J325" s="20">
        <v>8</v>
      </c>
      <c r="K325" s="22">
        <v>1150</v>
      </c>
      <c r="L325" s="22">
        <v>9200</v>
      </c>
      <c r="M325" s="22">
        <v>7617.77</v>
      </c>
      <c r="N325" s="22">
        <v>1582.23</v>
      </c>
      <c r="O325" s="23">
        <v>0.17199999999999999</v>
      </c>
      <c r="P325" s="20" t="s">
        <v>80</v>
      </c>
    </row>
    <row r="326" spans="1:16" x14ac:dyDescent="0.3">
      <c r="A326" s="16" t="s">
        <v>462</v>
      </c>
      <c r="B326" s="17">
        <v>45364</v>
      </c>
      <c r="C326" s="16" t="s">
        <v>122</v>
      </c>
      <c r="D326" s="16" t="s">
        <v>53</v>
      </c>
      <c r="E326" s="16" t="s">
        <v>31</v>
      </c>
      <c r="F326" s="16" t="s">
        <v>95</v>
      </c>
      <c r="G326" s="16" t="s">
        <v>38</v>
      </c>
      <c r="H326" s="16" t="s">
        <v>223</v>
      </c>
      <c r="I326" s="16" t="s">
        <v>93</v>
      </c>
      <c r="J326" s="16">
        <v>12</v>
      </c>
      <c r="K326" s="18">
        <v>35980</v>
      </c>
      <c r="L326" s="18">
        <v>431760</v>
      </c>
      <c r="M326" s="18">
        <v>338566.42</v>
      </c>
      <c r="N326" s="18">
        <v>93193.58</v>
      </c>
      <c r="O326" s="19">
        <v>0.21579999999999999</v>
      </c>
      <c r="P326" s="16" t="s">
        <v>80</v>
      </c>
    </row>
    <row r="327" spans="1:16" x14ac:dyDescent="0.3">
      <c r="A327" s="20" t="s">
        <v>463</v>
      </c>
      <c r="B327" s="21">
        <v>45589</v>
      </c>
      <c r="C327" s="20" t="s">
        <v>107</v>
      </c>
      <c r="D327" s="20" t="s">
        <v>57</v>
      </c>
      <c r="E327" s="20" t="s">
        <v>29</v>
      </c>
      <c r="F327" s="20" t="s">
        <v>150</v>
      </c>
      <c r="G327" s="20" t="s">
        <v>39</v>
      </c>
      <c r="H327" s="20" t="s">
        <v>127</v>
      </c>
      <c r="I327" s="20" t="s">
        <v>117</v>
      </c>
      <c r="J327" s="20">
        <v>2</v>
      </c>
      <c r="K327" s="22">
        <v>3160</v>
      </c>
      <c r="L327" s="22">
        <v>6320</v>
      </c>
      <c r="M327" s="22">
        <v>3517.09</v>
      </c>
      <c r="N327" s="22">
        <v>2802.91</v>
      </c>
      <c r="O327" s="23">
        <v>0.44350000000000001</v>
      </c>
      <c r="P327" s="20" t="s">
        <v>80</v>
      </c>
    </row>
    <row r="328" spans="1:16" x14ac:dyDescent="0.3">
      <c r="A328" s="16" t="s">
        <v>464</v>
      </c>
      <c r="B328" s="17">
        <v>45413</v>
      </c>
      <c r="C328" s="16" t="s">
        <v>13</v>
      </c>
      <c r="D328" s="16" t="s">
        <v>55</v>
      </c>
      <c r="E328" s="16" t="s">
        <v>31</v>
      </c>
      <c r="F328" s="16" t="s">
        <v>91</v>
      </c>
      <c r="G328" s="16" t="s">
        <v>40</v>
      </c>
      <c r="H328" s="16" t="s">
        <v>102</v>
      </c>
      <c r="I328" s="16" t="s">
        <v>112</v>
      </c>
      <c r="J328" s="16">
        <v>9</v>
      </c>
      <c r="K328" s="18">
        <v>770</v>
      </c>
      <c r="L328" s="18">
        <v>6930</v>
      </c>
      <c r="M328" s="18">
        <v>5867.21</v>
      </c>
      <c r="N328" s="18">
        <v>1062.79</v>
      </c>
      <c r="O328" s="19">
        <v>0.15340000000000001</v>
      </c>
      <c r="P328" s="16" t="s">
        <v>80</v>
      </c>
    </row>
    <row r="329" spans="1:16" x14ac:dyDescent="0.3">
      <c r="A329" s="20" t="s">
        <v>465</v>
      </c>
      <c r="B329" s="21">
        <v>45361</v>
      </c>
      <c r="C329" s="20" t="s">
        <v>122</v>
      </c>
      <c r="D329" s="20" t="s">
        <v>53</v>
      </c>
      <c r="E329" s="20" t="s">
        <v>33</v>
      </c>
      <c r="F329" s="20" t="s">
        <v>99</v>
      </c>
      <c r="G329" s="20" t="s">
        <v>39</v>
      </c>
      <c r="H329" s="20" t="s">
        <v>105</v>
      </c>
      <c r="I329" s="20" t="s">
        <v>85</v>
      </c>
      <c r="J329" s="20">
        <v>11</v>
      </c>
      <c r="K329" s="22">
        <v>2520</v>
      </c>
      <c r="L329" s="22">
        <v>27720</v>
      </c>
      <c r="M329" s="22">
        <v>15505.15</v>
      </c>
      <c r="N329" s="22">
        <v>12214.85</v>
      </c>
      <c r="O329" s="23">
        <v>0.44069999999999998</v>
      </c>
      <c r="P329" s="20" t="s">
        <v>80</v>
      </c>
    </row>
    <row r="330" spans="1:16" x14ac:dyDescent="0.3">
      <c r="A330" s="16" t="s">
        <v>466</v>
      </c>
      <c r="B330" s="17">
        <v>45398</v>
      </c>
      <c r="C330" s="16" t="s">
        <v>142</v>
      </c>
      <c r="D330" s="16" t="s">
        <v>55</v>
      </c>
      <c r="E330" s="16" t="s">
        <v>32</v>
      </c>
      <c r="F330" s="16" t="s">
        <v>177</v>
      </c>
      <c r="G330" s="16" t="s">
        <v>41</v>
      </c>
      <c r="H330" s="16" t="s">
        <v>163</v>
      </c>
      <c r="I330" s="16" t="s">
        <v>146</v>
      </c>
      <c r="J330" s="16">
        <v>10</v>
      </c>
      <c r="K330" s="18">
        <v>7250</v>
      </c>
      <c r="L330" s="18">
        <v>72500</v>
      </c>
      <c r="M330" s="18">
        <v>44758.7</v>
      </c>
      <c r="N330" s="18">
        <v>27741.3</v>
      </c>
      <c r="O330" s="19">
        <v>0.3826</v>
      </c>
      <c r="P330" s="16" t="s">
        <v>80</v>
      </c>
    </row>
    <row r="331" spans="1:16" x14ac:dyDescent="0.3">
      <c r="A331" s="20" t="s">
        <v>467</v>
      </c>
      <c r="B331" s="21">
        <v>45312</v>
      </c>
      <c r="C331" s="20" t="s">
        <v>116</v>
      </c>
      <c r="D331" s="20" t="s">
        <v>53</v>
      </c>
      <c r="E331" s="20" t="s">
        <v>30</v>
      </c>
      <c r="F331" s="20" t="s">
        <v>158</v>
      </c>
      <c r="G331" s="20" t="s">
        <v>39</v>
      </c>
      <c r="H331" s="20" t="s">
        <v>105</v>
      </c>
      <c r="I331" s="20" t="s">
        <v>109</v>
      </c>
      <c r="J331" s="20">
        <v>13</v>
      </c>
      <c r="K331" s="22">
        <v>4860</v>
      </c>
      <c r="L331" s="22">
        <v>63180</v>
      </c>
      <c r="M331" s="22">
        <v>34663.96</v>
      </c>
      <c r="N331" s="22">
        <v>28516.04</v>
      </c>
      <c r="O331" s="23">
        <v>0.45129999999999998</v>
      </c>
      <c r="P331" s="20" t="s">
        <v>80</v>
      </c>
    </row>
    <row r="332" spans="1:16" x14ac:dyDescent="0.3">
      <c r="A332" s="16" t="s">
        <v>468</v>
      </c>
      <c r="B332" s="17">
        <v>45425</v>
      </c>
      <c r="C332" s="16" t="s">
        <v>13</v>
      </c>
      <c r="D332" s="16" t="s">
        <v>55</v>
      </c>
      <c r="E332" s="16" t="s">
        <v>30</v>
      </c>
      <c r="F332" s="16" t="s">
        <v>126</v>
      </c>
      <c r="G332" s="16" t="s">
        <v>41</v>
      </c>
      <c r="H332" s="16" t="s">
        <v>178</v>
      </c>
      <c r="I332" s="16" t="s">
        <v>131</v>
      </c>
      <c r="J332" s="16">
        <v>8</v>
      </c>
      <c r="K332" s="18">
        <v>38160</v>
      </c>
      <c r="L332" s="18">
        <v>305280</v>
      </c>
      <c r="M332" s="18">
        <v>210804.23</v>
      </c>
      <c r="N332" s="18">
        <v>94475.77</v>
      </c>
      <c r="O332" s="19">
        <v>0.3095</v>
      </c>
      <c r="P332" s="16" t="s">
        <v>80</v>
      </c>
    </row>
    <row r="333" spans="1:16" x14ac:dyDescent="0.3">
      <c r="A333" s="20" t="s">
        <v>469</v>
      </c>
      <c r="B333" s="21">
        <v>45363</v>
      </c>
      <c r="C333" s="20" t="s">
        <v>122</v>
      </c>
      <c r="D333" s="20" t="s">
        <v>53</v>
      </c>
      <c r="E333" s="20" t="s">
        <v>29</v>
      </c>
      <c r="F333" s="20" t="s">
        <v>77</v>
      </c>
      <c r="G333" s="20" t="s">
        <v>38</v>
      </c>
      <c r="H333" s="20" t="s">
        <v>100</v>
      </c>
      <c r="I333" s="20" t="s">
        <v>79</v>
      </c>
      <c r="J333" s="20">
        <v>13</v>
      </c>
      <c r="K333" s="22">
        <v>19860</v>
      </c>
      <c r="L333" s="22">
        <v>258180</v>
      </c>
      <c r="M333" s="22">
        <v>204678.91</v>
      </c>
      <c r="N333" s="22">
        <v>53501.09</v>
      </c>
      <c r="O333" s="23">
        <v>0.2072</v>
      </c>
      <c r="P333" s="20" t="s">
        <v>80</v>
      </c>
    </row>
    <row r="334" spans="1:16" x14ac:dyDescent="0.3">
      <c r="A334" s="16" t="s">
        <v>470</v>
      </c>
      <c r="B334" s="17">
        <v>45622</v>
      </c>
      <c r="C334" s="16" t="s">
        <v>76</v>
      </c>
      <c r="D334" s="16" t="s">
        <v>57</v>
      </c>
      <c r="E334" s="16" t="s">
        <v>29</v>
      </c>
      <c r="F334" s="16" t="s">
        <v>150</v>
      </c>
      <c r="G334" s="16" t="s">
        <v>42</v>
      </c>
      <c r="H334" s="16" t="s">
        <v>156</v>
      </c>
      <c r="I334" s="16" t="s">
        <v>117</v>
      </c>
      <c r="J334" s="16">
        <v>3</v>
      </c>
      <c r="K334" s="18">
        <v>1110</v>
      </c>
      <c r="L334" s="18">
        <v>3330</v>
      </c>
      <c r="M334" s="18">
        <v>2431.65</v>
      </c>
      <c r="N334" s="18">
        <v>898.35</v>
      </c>
      <c r="O334" s="19">
        <v>0.26979999999999998</v>
      </c>
      <c r="P334" s="16" t="s">
        <v>80</v>
      </c>
    </row>
    <row r="335" spans="1:16" x14ac:dyDescent="0.3">
      <c r="A335" s="20" t="s">
        <v>471</v>
      </c>
      <c r="B335" s="21">
        <v>45357</v>
      </c>
      <c r="C335" s="20" t="s">
        <v>122</v>
      </c>
      <c r="D335" s="20" t="s">
        <v>53</v>
      </c>
      <c r="E335" s="20" t="s">
        <v>29</v>
      </c>
      <c r="F335" s="20" t="s">
        <v>135</v>
      </c>
      <c r="G335" s="20" t="s">
        <v>38</v>
      </c>
      <c r="H335" s="20" t="s">
        <v>123</v>
      </c>
      <c r="I335" s="20" t="s">
        <v>79</v>
      </c>
      <c r="J335" s="20">
        <v>19</v>
      </c>
      <c r="K335" s="22">
        <v>8800</v>
      </c>
      <c r="L335" s="22">
        <v>167200</v>
      </c>
      <c r="M335" s="22">
        <v>131533.63</v>
      </c>
      <c r="N335" s="22">
        <v>35666.370000000003</v>
      </c>
      <c r="O335" s="23">
        <v>0.21329999999999999</v>
      </c>
      <c r="P335" s="20" t="s">
        <v>80</v>
      </c>
    </row>
    <row r="336" spans="1:16" x14ac:dyDescent="0.3">
      <c r="A336" s="16" t="s">
        <v>472</v>
      </c>
      <c r="B336" s="17">
        <v>45546</v>
      </c>
      <c r="C336" s="16" t="s">
        <v>202</v>
      </c>
      <c r="D336" s="16" t="s">
        <v>56</v>
      </c>
      <c r="E336" s="16" t="s">
        <v>29</v>
      </c>
      <c r="F336" s="16" t="s">
        <v>135</v>
      </c>
      <c r="G336" s="16" t="s">
        <v>41</v>
      </c>
      <c r="H336" s="16" t="s">
        <v>129</v>
      </c>
      <c r="I336" s="16" t="s">
        <v>79</v>
      </c>
      <c r="J336" s="16">
        <v>6</v>
      </c>
      <c r="K336" s="18">
        <v>13090</v>
      </c>
      <c r="L336" s="18">
        <v>78540</v>
      </c>
      <c r="M336" s="18">
        <v>52818.29</v>
      </c>
      <c r="N336" s="18">
        <v>25721.71</v>
      </c>
      <c r="O336" s="19">
        <v>0.32750000000000001</v>
      </c>
      <c r="P336" s="16" t="s">
        <v>80</v>
      </c>
    </row>
    <row r="337" spans="1:16" x14ac:dyDescent="0.3">
      <c r="A337" s="20" t="s">
        <v>473</v>
      </c>
      <c r="B337" s="21">
        <v>45368</v>
      </c>
      <c r="C337" s="20" t="s">
        <v>122</v>
      </c>
      <c r="D337" s="20" t="s">
        <v>53</v>
      </c>
      <c r="E337" s="20" t="s">
        <v>29</v>
      </c>
      <c r="F337" s="20" t="s">
        <v>150</v>
      </c>
      <c r="G337" s="20" t="s">
        <v>42</v>
      </c>
      <c r="H337" s="20" t="s">
        <v>114</v>
      </c>
      <c r="I337" s="20" t="s">
        <v>79</v>
      </c>
      <c r="J337" s="20">
        <v>18</v>
      </c>
      <c r="K337" s="22">
        <v>7880</v>
      </c>
      <c r="L337" s="22">
        <v>141840</v>
      </c>
      <c r="M337" s="22">
        <v>99585.43</v>
      </c>
      <c r="N337" s="22">
        <v>42254.57</v>
      </c>
      <c r="O337" s="23">
        <v>0.2979</v>
      </c>
      <c r="P337" s="20" t="s">
        <v>80</v>
      </c>
    </row>
    <row r="338" spans="1:16" x14ac:dyDescent="0.3">
      <c r="A338" s="16" t="s">
        <v>474</v>
      </c>
      <c r="B338" s="17">
        <v>45488</v>
      </c>
      <c r="C338" s="16" t="s">
        <v>98</v>
      </c>
      <c r="D338" s="16" t="s">
        <v>56</v>
      </c>
      <c r="E338" s="16" t="s">
        <v>30</v>
      </c>
      <c r="F338" s="16" t="s">
        <v>158</v>
      </c>
      <c r="G338" s="16" t="s">
        <v>39</v>
      </c>
      <c r="H338" s="16" t="s">
        <v>87</v>
      </c>
      <c r="I338" s="16" t="s">
        <v>109</v>
      </c>
      <c r="J338" s="16">
        <v>13</v>
      </c>
      <c r="K338" s="18">
        <v>4080</v>
      </c>
      <c r="L338" s="18">
        <v>53040</v>
      </c>
      <c r="M338" s="18">
        <v>27676.720000000001</v>
      </c>
      <c r="N338" s="18">
        <v>25363.279999999999</v>
      </c>
      <c r="O338" s="19">
        <v>0.47820000000000001</v>
      </c>
      <c r="P338" s="16" t="s">
        <v>80</v>
      </c>
    </row>
    <row r="339" spans="1:16" x14ac:dyDescent="0.3">
      <c r="A339" s="20" t="s">
        <v>475</v>
      </c>
      <c r="B339" s="21">
        <v>45570</v>
      </c>
      <c r="C339" s="20" t="s">
        <v>107</v>
      </c>
      <c r="D339" s="20" t="s">
        <v>57</v>
      </c>
      <c r="E339" s="20" t="s">
        <v>32</v>
      </c>
      <c r="F339" s="20" t="s">
        <v>177</v>
      </c>
      <c r="G339" s="20" t="s">
        <v>42</v>
      </c>
      <c r="H339" s="20" t="s">
        <v>187</v>
      </c>
      <c r="I339" s="20" t="s">
        <v>146</v>
      </c>
      <c r="J339" s="20">
        <v>1</v>
      </c>
      <c r="K339" s="22">
        <v>4640</v>
      </c>
      <c r="L339" s="22">
        <v>4640</v>
      </c>
      <c r="M339" s="22">
        <v>3332.04</v>
      </c>
      <c r="N339" s="22">
        <v>1307.96</v>
      </c>
      <c r="O339" s="23">
        <v>0.28189999999999998</v>
      </c>
      <c r="P339" s="20" t="s">
        <v>80</v>
      </c>
    </row>
    <row r="340" spans="1:16" x14ac:dyDescent="0.3">
      <c r="A340" s="16" t="s">
        <v>476</v>
      </c>
      <c r="B340" s="17">
        <v>45435</v>
      </c>
      <c r="C340" s="16" t="s">
        <v>13</v>
      </c>
      <c r="D340" s="16" t="s">
        <v>55</v>
      </c>
      <c r="E340" s="16" t="s">
        <v>29</v>
      </c>
      <c r="F340" s="16" t="s">
        <v>135</v>
      </c>
      <c r="G340" s="16" t="s">
        <v>42</v>
      </c>
      <c r="H340" s="16" t="s">
        <v>133</v>
      </c>
      <c r="I340" s="16" t="s">
        <v>117</v>
      </c>
      <c r="J340" s="16">
        <v>6</v>
      </c>
      <c r="K340" s="18">
        <v>14990</v>
      </c>
      <c r="L340" s="18">
        <v>89940</v>
      </c>
      <c r="M340" s="18">
        <v>66554.39</v>
      </c>
      <c r="N340" s="18">
        <v>23385.61</v>
      </c>
      <c r="O340" s="19">
        <v>0.26</v>
      </c>
      <c r="P340" s="16" t="s">
        <v>80</v>
      </c>
    </row>
    <row r="341" spans="1:16" x14ac:dyDescent="0.3">
      <c r="A341" s="20" t="s">
        <v>477</v>
      </c>
      <c r="B341" s="21">
        <v>45428</v>
      </c>
      <c r="C341" s="20" t="s">
        <v>13</v>
      </c>
      <c r="D341" s="20" t="s">
        <v>55</v>
      </c>
      <c r="E341" s="20" t="s">
        <v>33</v>
      </c>
      <c r="F341" s="20" t="s">
        <v>104</v>
      </c>
      <c r="G341" s="20" t="s">
        <v>38</v>
      </c>
      <c r="H341" s="20" t="s">
        <v>223</v>
      </c>
      <c r="I341" s="20" t="s">
        <v>85</v>
      </c>
      <c r="J341" s="20">
        <v>13</v>
      </c>
      <c r="K341" s="22">
        <v>68490</v>
      </c>
      <c r="L341" s="22">
        <v>890370</v>
      </c>
      <c r="M341" s="22">
        <v>707416.36</v>
      </c>
      <c r="N341" s="22">
        <v>182953.64</v>
      </c>
      <c r="O341" s="23">
        <v>0.20549999999999999</v>
      </c>
      <c r="P341" s="20" t="s">
        <v>80</v>
      </c>
    </row>
    <row r="342" spans="1:16" x14ac:dyDescent="0.3">
      <c r="A342" s="16" t="s">
        <v>478</v>
      </c>
      <c r="B342" s="17">
        <v>45380</v>
      </c>
      <c r="C342" s="16" t="s">
        <v>122</v>
      </c>
      <c r="D342" s="16" t="s">
        <v>53</v>
      </c>
      <c r="E342" s="16" t="s">
        <v>30</v>
      </c>
      <c r="F342" s="16" t="s">
        <v>126</v>
      </c>
      <c r="G342" s="16" t="s">
        <v>42</v>
      </c>
      <c r="H342" s="16" t="s">
        <v>114</v>
      </c>
      <c r="I342" s="16" t="s">
        <v>131</v>
      </c>
      <c r="J342" s="16">
        <v>1</v>
      </c>
      <c r="K342" s="18">
        <v>13780</v>
      </c>
      <c r="L342" s="18">
        <v>13780</v>
      </c>
      <c r="M342" s="18">
        <v>9365.64</v>
      </c>
      <c r="N342" s="18">
        <v>4414.3599999999997</v>
      </c>
      <c r="O342" s="19">
        <v>0.32029999999999997</v>
      </c>
      <c r="P342" s="16" t="s">
        <v>80</v>
      </c>
    </row>
    <row r="343" spans="1:16" x14ac:dyDescent="0.3">
      <c r="A343" s="20" t="s">
        <v>479</v>
      </c>
      <c r="B343" s="21">
        <v>45582</v>
      </c>
      <c r="C343" s="20" t="s">
        <v>107</v>
      </c>
      <c r="D343" s="20" t="s">
        <v>57</v>
      </c>
      <c r="E343" s="20" t="s">
        <v>33</v>
      </c>
      <c r="F343" s="20" t="s">
        <v>99</v>
      </c>
      <c r="G343" s="20" t="s">
        <v>42</v>
      </c>
      <c r="H343" s="20" t="s">
        <v>187</v>
      </c>
      <c r="I343" s="20" t="s">
        <v>85</v>
      </c>
      <c r="J343" s="20">
        <v>6</v>
      </c>
      <c r="K343" s="22">
        <v>8500</v>
      </c>
      <c r="L343" s="22">
        <v>51000</v>
      </c>
      <c r="M343" s="22">
        <v>35748.769999999997</v>
      </c>
      <c r="N343" s="22">
        <v>15251.23</v>
      </c>
      <c r="O343" s="23">
        <v>0.29899999999999999</v>
      </c>
      <c r="P343" s="20" t="s">
        <v>80</v>
      </c>
    </row>
    <row r="344" spans="1:16" x14ac:dyDescent="0.3">
      <c r="A344" s="16" t="s">
        <v>480</v>
      </c>
      <c r="B344" s="17">
        <v>45411</v>
      </c>
      <c r="C344" s="16" t="s">
        <v>142</v>
      </c>
      <c r="D344" s="16" t="s">
        <v>55</v>
      </c>
      <c r="E344" s="16" t="s">
        <v>33</v>
      </c>
      <c r="F344" s="16" t="s">
        <v>99</v>
      </c>
      <c r="G344" s="16" t="s">
        <v>38</v>
      </c>
      <c r="H344" s="16" t="s">
        <v>84</v>
      </c>
      <c r="I344" s="16" t="s">
        <v>88</v>
      </c>
      <c r="J344" s="16">
        <v>20</v>
      </c>
      <c r="K344" s="18">
        <v>29880</v>
      </c>
      <c r="L344" s="18">
        <v>597600</v>
      </c>
      <c r="M344" s="18">
        <v>483968.49</v>
      </c>
      <c r="N344" s="18">
        <v>113631.51</v>
      </c>
      <c r="O344" s="19">
        <v>0.19009999999999999</v>
      </c>
      <c r="P344" s="16" t="s">
        <v>80</v>
      </c>
    </row>
    <row r="345" spans="1:16" x14ac:dyDescent="0.3">
      <c r="A345" s="20" t="s">
        <v>481</v>
      </c>
      <c r="B345" s="21">
        <v>45382</v>
      </c>
      <c r="C345" s="20" t="s">
        <v>122</v>
      </c>
      <c r="D345" s="20" t="s">
        <v>53</v>
      </c>
      <c r="E345" s="20" t="s">
        <v>31</v>
      </c>
      <c r="F345" s="20" t="s">
        <v>95</v>
      </c>
      <c r="G345" s="20" t="s">
        <v>38</v>
      </c>
      <c r="H345" s="20" t="s">
        <v>223</v>
      </c>
      <c r="I345" s="20" t="s">
        <v>93</v>
      </c>
      <c r="J345" s="20">
        <v>5</v>
      </c>
      <c r="K345" s="22">
        <v>57850</v>
      </c>
      <c r="L345" s="22">
        <v>289250</v>
      </c>
      <c r="M345" s="22">
        <v>217678.95</v>
      </c>
      <c r="N345" s="22">
        <v>71571.05</v>
      </c>
      <c r="O345" s="23">
        <v>0.24740000000000001</v>
      </c>
      <c r="P345" s="20" t="s">
        <v>80</v>
      </c>
    </row>
    <row r="346" spans="1:16" x14ac:dyDescent="0.3">
      <c r="A346" s="16" t="s">
        <v>482</v>
      </c>
      <c r="B346" s="17">
        <v>45478</v>
      </c>
      <c r="C346" s="16" t="s">
        <v>98</v>
      </c>
      <c r="D346" s="16" t="s">
        <v>56</v>
      </c>
      <c r="E346" s="16" t="s">
        <v>29</v>
      </c>
      <c r="F346" s="16" t="s">
        <v>135</v>
      </c>
      <c r="G346" s="16" t="s">
        <v>41</v>
      </c>
      <c r="H346" s="16" t="s">
        <v>129</v>
      </c>
      <c r="I346" s="16" t="s">
        <v>79</v>
      </c>
      <c r="J346" s="16">
        <v>5</v>
      </c>
      <c r="K346" s="18">
        <v>17180</v>
      </c>
      <c r="L346" s="18">
        <v>85900</v>
      </c>
      <c r="M346" s="18">
        <v>51747.360000000001</v>
      </c>
      <c r="N346" s="18">
        <v>34152.639999999999</v>
      </c>
      <c r="O346" s="19">
        <v>0.39760000000000001</v>
      </c>
      <c r="P346" s="16" t="s">
        <v>80</v>
      </c>
    </row>
    <row r="347" spans="1:16" x14ac:dyDescent="0.3">
      <c r="A347" s="20" t="s">
        <v>483</v>
      </c>
      <c r="B347" s="21">
        <v>45515</v>
      </c>
      <c r="C347" s="20" t="s">
        <v>90</v>
      </c>
      <c r="D347" s="20" t="s">
        <v>56</v>
      </c>
      <c r="E347" s="20" t="s">
        <v>32</v>
      </c>
      <c r="F347" s="20" t="s">
        <v>139</v>
      </c>
      <c r="G347" s="20" t="s">
        <v>40</v>
      </c>
      <c r="H347" s="20" t="s">
        <v>180</v>
      </c>
      <c r="I347" s="20" t="s">
        <v>140</v>
      </c>
      <c r="J347" s="20">
        <v>20</v>
      </c>
      <c r="K347" s="22">
        <v>1450</v>
      </c>
      <c r="L347" s="22">
        <v>29000</v>
      </c>
      <c r="M347" s="22">
        <v>22947.72</v>
      </c>
      <c r="N347" s="22">
        <v>6052.28</v>
      </c>
      <c r="O347" s="23">
        <v>0.2087</v>
      </c>
      <c r="P347" s="20" t="s">
        <v>80</v>
      </c>
    </row>
    <row r="348" spans="1:16" x14ac:dyDescent="0.3">
      <c r="A348" s="16" t="s">
        <v>484</v>
      </c>
      <c r="B348" s="17">
        <v>45593</v>
      </c>
      <c r="C348" s="16" t="s">
        <v>107</v>
      </c>
      <c r="D348" s="16" t="s">
        <v>57</v>
      </c>
      <c r="E348" s="16" t="s">
        <v>30</v>
      </c>
      <c r="F348" s="16" t="s">
        <v>158</v>
      </c>
      <c r="G348" s="16" t="s">
        <v>40</v>
      </c>
      <c r="H348" s="16" t="s">
        <v>78</v>
      </c>
      <c r="I348" s="16" t="s">
        <v>131</v>
      </c>
      <c r="J348" s="16">
        <v>1</v>
      </c>
      <c r="K348" s="18">
        <v>520</v>
      </c>
      <c r="L348" s="18">
        <v>520</v>
      </c>
      <c r="M348" s="18">
        <v>403.06</v>
      </c>
      <c r="N348" s="18">
        <v>116.94</v>
      </c>
      <c r="O348" s="19">
        <v>0.22489999999999999</v>
      </c>
      <c r="P348" s="16" t="s">
        <v>80</v>
      </c>
    </row>
    <row r="349" spans="1:16" x14ac:dyDescent="0.3">
      <c r="A349" s="20" t="s">
        <v>485</v>
      </c>
      <c r="B349" s="21">
        <v>45492</v>
      </c>
      <c r="C349" s="20" t="s">
        <v>98</v>
      </c>
      <c r="D349" s="20" t="s">
        <v>56</v>
      </c>
      <c r="E349" s="20" t="s">
        <v>33</v>
      </c>
      <c r="F349" s="20" t="s">
        <v>99</v>
      </c>
      <c r="G349" s="20" t="s">
        <v>39</v>
      </c>
      <c r="H349" s="20" t="s">
        <v>87</v>
      </c>
      <c r="I349" s="20" t="s">
        <v>88</v>
      </c>
      <c r="J349" s="20">
        <v>19</v>
      </c>
      <c r="K349" s="22">
        <v>1490</v>
      </c>
      <c r="L349" s="22">
        <v>28310</v>
      </c>
      <c r="M349" s="22">
        <v>16691.259999999998</v>
      </c>
      <c r="N349" s="22">
        <v>11618.74</v>
      </c>
      <c r="O349" s="23">
        <v>0.41039999999999999</v>
      </c>
      <c r="P349" s="20" t="s">
        <v>80</v>
      </c>
    </row>
    <row r="350" spans="1:16" x14ac:dyDescent="0.3">
      <c r="A350" s="16" t="s">
        <v>486</v>
      </c>
      <c r="B350" s="17">
        <v>45461</v>
      </c>
      <c r="C350" s="16" t="s">
        <v>125</v>
      </c>
      <c r="D350" s="16" t="s">
        <v>55</v>
      </c>
      <c r="E350" s="16" t="s">
        <v>29</v>
      </c>
      <c r="F350" s="16" t="s">
        <v>77</v>
      </c>
      <c r="G350" s="16" t="s">
        <v>40</v>
      </c>
      <c r="H350" s="16" t="s">
        <v>78</v>
      </c>
      <c r="I350" s="16" t="s">
        <v>117</v>
      </c>
      <c r="J350" s="16">
        <v>3</v>
      </c>
      <c r="K350" s="18">
        <v>1350</v>
      </c>
      <c r="L350" s="18">
        <v>4050</v>
      </c>
      <c r="M350" s="18">
        <v>3190.73</v>
      </c>
      <c r="N350" s="18">
        <v>859.27</v>
      </c>
      <c r="O350" s="19">
        <v>0.2122</v>
      </c>
      <c r="P350" s="16" t="s">
        <v>80</v>
      </c>
    </row>
    <row r="351" spans="1:16" x14ac:dyDescent="0.3">
      <c r="A351" s="20" t="s">
        <v>487</v>
      </c>
      <c r="B351" s="21">
        <v>45463</v>
      </c>
      <c r="C351" s="20" t="s">
        <v>125</v>
      </c>
      <c r="D351" s="20" t="s">
        <v>55</v>
      </c>
      <c r="E351" s="20" t="s">
        <v>32</v>
      </c>
      <c r="F351" s="20" t="s">
        <v>145</v>
      </c>
      <c r="G351" s="20" t="s">
        <v>40</v>
      </c>
      <c r="H351" s="20" t="s">
        <v>78</v>
      </c>
      <c r="I351" s="20" t="s">
        <v>140</v>
      </c>
      <c r="J351" s="20">
        <v>12</v>
      </c>
      <c r="K351" s="22">
        <v>1450</v>
      </c>
      <c r="L351" s="22">
        <v>17400</v>
      </c>
      <c r="M351" s="22">
        <v>14691.42</v>
      </c>
      <c r="N351" s="22">
        <v>2708.58</v>
      </c>
      <c r="O351" s="23">
        <v>0.15570000000000001</v>
      </c>
      <c r="P351" s="20" t="s">
        <v>80</v>
      </c>
    </row>
    <row r="352" spans="1:16" x14ac:dyDescent="0.3">
      <c r="A352" s="16" t="s">
        <v>488</v>
      </c>
      <c r="B352" s="17">
        <v>45292</v>
      </c>
      <c r="C352" s="16" t="s">
        <v>116</v>
      </c>
      <c r="D352" s="16" t="s">
        <v>53</v>
      </c>
      <c r="E352" s="16" t="s">
        <v>29</v>
      </c>
      <c r="F352" s="16" t="s">
        <v>135</v>
      </c>
      <c r="G352" s="16" t="s">
        <v>41</v>
      </c>
      <c r="H352" s="16" t="s">
        <v>169</v>
      </c>
      <c r="I352" s="16" t="s">
        <v>117</v>
      </c>
      <c r="J352" s="16">
        <v>16</v>
      </c>
      <c r="K352" s="18">
        <v>44570</v>
      </c>
      <c r="L352" s="18">
        <v>713120</v>
      </c>
      <c r="M352" s="18">
        <v>436303.17</v>
      </c>
      <c r="N352" s="18">
        <v>276816.83</v>
      </c>
      <c r="O352" s="19">
        <v>0.38819999999999999</v>
      </c>
      <c r="P352" s="16" t="s">
        <v>80</v>
      </c>
    </row>
    <row r="353" spans="1:16" x14ac:dyDescent="0.3">
      <c r="A353" s="20" t="s">
        <v>489</v>
      </c>
      <c r="B353" s="21">
        <v>45484</v>
      </c>
      <c r="C353" s="20" t="s">
        <v>98</v>
      </c>
      <c r="D353" s="20" t="s">
        <v>56</v>
      </c>
      <c r="E353" s="20" t="s">
        <v>29</v>
      </c>
      <c r="F353" s="20" t="s">
        <v>135</v>
      </c>
      <c r="G353" s="20" t="s">
        <v>42</v>
      </c>
      <c r="H353" s="20" t="s">
        <v>148</v>
      </c>
      <c r="I353" s="20" t="s">
        <v>79</v>
      </c>
      <c r="J353" s="20">
        <v>2</v>
      </c>
      <c r="K353" s="22">
        <v>7210</v>
      </c>
      <c r="L353" s="22">
        <v>14420</v>
      </c>
      <c r="M353" s="22">
        <v>10389.74</v>
      </c>
      <c r="N353" s="22">
        <v>4030.26</v>
      </c>
      <c r="O353" s="23">
        <v>0.27950000000000003</v>
      </c>
      <c r="P353" s="20" t="s">
        <v>80</v>
      </c>
    </row>
    <row r="354" spans="1:16" x14ac:dyDescent="0.3">
      <c r="A354" s="16" t="s">
        <v>490</v>
      </c>
      <c r="B354" s="17">
        <v>45345</v>
      </c>
      <c r="C354" s="16" t="s">
        <v>82</v>
      </c>
      <c r="D354" s="16" t="s">
        <v>53</v>
      </c>
      <c r="E354" s="16" t="s">
        <v>29</v>
      </c>
      <c r="F354" s="16" t="s">
        <v>135</v>
      </c>
      <c r="G354" s="16" t="s">
        <v>39</v>
      </c>
      <c r="H354" s="16" t="s">
        <v>105</v>
      </c>
      <c r="I354" s="16" t="s">
        <v>117</v>
      </c>
      <c r="J354" s="16">
        <v>18</v>
      </c>
      <c r="K354" s="18">
        <v>3790</v>
      </c>
      <c r="L354" s="18">
        <v>68220</v>
      </c>
      <c r="M354" s="18">
        <v>34506.81</v>
      </c>
      <c r="N354" s="18">
        <v>33713.19</v>
      </c>
      <c r="O354" s="19">
        <v>0.49419999999999997</v>
      </c>
      <c r="P354" s="16" t="s">
        <v>80</v>
      </c>
    </row>
    <row r="355" spans="1:16" x14ac:dyDescent="0.3">
      <c r="A355" s="20" t="s">
        <v>491</v>
      </c>
      <c r="B355" s="21">
        <v>45465</v>
      </c>
      <c r="C355" s="20" t="s">
        <v>125</v>
      </c>
      <c r="D355" s="20" t="s">
        <v>55</v>
      </c>
      <c r="E355" s="20" t="s">
        <v>33</v>
      </c>
      <c r="F355" s="20" t="s">
        <v>104</v>
      </c>
      <c r="G355" s="20" t="s">
        <v>41</v>
      </c>
      <c r="H355" s="20" t="s">
        <v>96</v>
      </c>
      <c r="I355" s="20" t="s">
        <v>85</v>
      </c>
      <c r="J355" s="20">
        <v>6</v>
      </c>
      <c r="K355" s="22">
        <v>47290</v>
      </c>
      <c r="L355" s="22">
        <v>283740</v>
      </c>
      <c r="M355" s="22">
        <v>181385.97</v>
      </c>
      <c r="N355" s="22">
        <v>102354.03</v>
      </c>
      <c r="O355" s="23">
        <v>0.36070000000000002</v>
      </c>
      <c r="P355" s="20" t="s">
        <v>80</v>
      </c>
    </row>
    <row r="356" spans="1:16" x14ac:dyDescent="0.3">
      <c r="A356" s="16" t="s">
        <v>492</v>
      </c>
      <c r="B356" s="17">
        <v>45319</v>
      </c>
      <c r="C356" s="16" t="s">
        <v>116</v>
      </c>
      <c r="D356" s="16" t="s">
        <v>53</v>
      </c>
      <c r="E356" s="16" t="s">
        <v>29</v>
      </c>
      <c r="F356" s="16" t="s">
        <v>135</v>
      </c>
      <c r="G356" s="16" t="s">
        <v>39</v>
      </c>
      <c r="H356" s="16" t="s">
        <v>137</v>
      </c>
      <c r="I356" s="16" t="s">
        <v>79</v>
      </c>
      <c r="J356" s="16">
        <v>18</v>
      </c>
      <c r="K356" s="18">
        <v>3640</v>
      </c>
      <c r="L356" s="18">
        <v>65520</v>
      </c>
      <c r="M356" s="18">
        <v>37573.99</v>
      </c>
      <c r="N356" s="18">
        <v>27946.01</v>
      </c>
      <c r="O356" s="19">
        <v>0.42649999999999999</v>
      </c>
      <c r="P356" s="16" t="s">
        <v>80</v>
      </c>
    </row>
    <row r="357" spans="1:16" x14ac:dyDescent="0.3">
      <c r="A357" s="20" t="s">
        <v>493</v>
      </c>
      <c r="B357" s="21">
        <v>45413</v>
      </c>
      <c r="C357" s="20" t="s">
        <v>13</v>
      </c>
      <c r="D357" s="20" t="s">
        <v>55</v>
      </c>
      <c r="E357" s="20" t="s">
        <v>29</v>
      </c>
      <c r="F357" s="20" t="s">
        <v>77</v>
      </c>
      <c r="G357" s="20" t="s">
        <v>41</v>
      </c>
      <c r="H357" s="20" t="s">
        <v>169</v>
      </c>
      <c r="I357" s="20" t="s">
        <v>117</v>
      </c>
      <c r="J357" s="20">
        <v>1</v>
      </c>
      <c r="K357" s="22">
        <v>5560</v>
      </c>
      <c r="L357" s="22">
        <v>5560</v>
      </c>
      <c r="M357" s="22">
        <v>3654.25</v>
      </c>
      <c r="N357" s="22">
        <v>1905.75</v>
      </c>
      <c r="O357" s="23">
        <v>0.34279999999999999</v>
      </c>
      <c r="P357" s="20" t="s">
        <v>80</v>
      </c>
    </row>
    <row r="358" spans="1:16" x14ac:dyDescent="0.3">
      <c r="A358" s="16" t="s">
        <v>494</v>
      </c>
      <c r="B358" s="17">
        <v>45630</v>
      </c>
      <c r="C358" s="16" t="s">
        <v>175</v>
      </c>
      <c r="D358" s="16" t="s">
        <v>57</v>
      </c>
      <c r="E358" s="16" t="s">
        <v>33</v>
      </c>
      <c r="F358" s="16" t="s">
        <v>83</v>
      </c>
      <c r="G358" s="16" t="s">
        <v>39</v>
      </c>
      <c r="H358" s="16" t="s">
        <v>127</v>
      </c>
      <c r="I358" s="16" t="s">
        <v>85</v>
      </c>
      <c r="J358" s="16">
        <v>10</v>
      </c>
      <c r="K358" s="18">
        <v>1430</v>
      </c>
      <c r="L358" s="18">
        <v>14300</v>
      </c>
      <c r="M358" s="18">
        <v>7182.81</v>
      </c>
      <c r="N358" s="18">
        <v>7117.19</v>
      </c>
      <c r="O358" s="19">
        <v>0.49769999999999998</v>
      </c>
      <c r="P358" s="16" t="s">
        <v>80</v>
      </c>
    </row>
    <row r="359" spans="1:16" x14ac:dyDescent="0.3">
      <c r="A359" s="20" t="s">
        <v>495</v>
      </c>
      <c r="B359" s="21">
        <v>45351</v>
      </c>
      <c r="C359" s="20" t="s">
        <v>82</v>
      </c>
      <c r="D359" s="20" t="s">
        <v>53</v>
      </c>
      <c r="E359" s="20" t="s">
        <v>31</v>
      </c>
      <c r="F359" s="20" t="s">
        <v>91</v>
      </c>
      <c r="G359" s="20" t="s">
        <v>41</v>
      </c>
      <c r="H359" s="20" t="s">
        <v>129</v>
      </c>
      <c r="I359" s="20" t="s">
        <v>112</v>
      </c>
      <c r="J359" s="20">
        <v>18</v>
      </c>
      <c r="K359" s="22">
        <v>7280</v>
      </c>
      <c r="L359" s="22">
        <v>131040</v>
      </c>
      <c r="M359" s="22">
        <v>86649.84</v>
      </c>
      <c r="N359" s="22">
        <v>44390.16</v>
      </c>
      <c r="O359" s="23">
        <v>0.33879999999999999</v>
      </c>
      <c r="P359" s="20" t="s">
        <v>80</v>
      </c>
    </row>
    <row r="360" spans="1:16" x14ac:dyDescent="0.3">
      <c r="A360" s="16" t="s">
        <v>496</v>
      </c>
      <c r="B360" s="17">
        <v>45487</v>
      </c>
      <c r="C360" s="16" t="s">
        <v>98</v>
      </c>
      <c r="D360" s="16" t="s">
        <v>56</v>
      </c>
      <c r="E360" s="16" t="s">
        <v>31</v>
      </c>
      <c r="F360" s="16" t="s">
        <v>95</v>
      </c>
      <c r="G360" s="16" t="s">
        <v>41</v>
      </c>
      <c r="H360" s="16" t="s">
        <v>129</v>
      </c>
      <c r="I360" s="16" t="s">
        <v>93</v>
      </c>
      <c r="J360" s="16">
        <v>9</v>
      </c>
      <c r="K360" s="18">
        <v>23670</v>
      </c>
      <c r="L360" s="18">
        <v>213030</v>
      </c>
      <c r="M360" s="18">
        <v>144301.35999999999</v>
      </c>
      <c r="N360" s="18">
        <v>68728.639999999999</v>
      </c>
      <c r="O360" s="19">
        <v>0.3226</v>
      </c>
      <c r="P360" s="16" t="s">
        <v>80</v>
      </c>
    </row>
    <row r="361" spans="1:16" x14ac:dyDescent="0.3">
      <c r="A361" s="20" t="s">
        <v>497</v>
      </c>
      <c r="B361" s="21">
        <v>45323</v>
      </c>
      <c r="C361" s="20" t="s">
        <v>82</v>
      </c>
      <c r="D361" s="20" t="s">
        <v>53</v>
      </c>
      <c r="E361" s="20" t="s">
        <v>30</v>
      </c>
      <c r="F361" s="20" t="s">
        <v>108</v>
      </c>
      <c r="G361" s="20" t="s">
        <v>38</v>
      </c>
      <c r="H361" s="20" t="s">
        <v>119</v>
      </c>
      <c r="I361" s="20" t="s">
        <v>109</v>
      </c>
      <c r="J361" s="20">
        <v>14</v>
      </c>
      <c r="K361" s="22">
        <v>65610</v>
      </c>
      <c r="L361" s="22">
        <v>918540</v>
      </c>
      <c r="M361" s="22">
        <v>673225.01</v>
      </c>
      <c r="N361" s="22">
        <v>245314.99</v>
      </c>
      <c r="O361" s="23">
        <v>0.2671</v>
      </c>
      <c r="P361" s="20" t="s">
        <v>80</v>
      </c>
    </row>
    <row r="362" spans="1:16" x14ac:dyDescent="0.3">
      <c r="A362" s="16" t="s">
        <v>498</v>
      </c>
      <c r="B362" s="17">
        <v>45575</v>
      </c>
      <c r="C362" s="16" t="s">
        <v>107</v>
      </c>
      <c r="D362" s="16" t="s">
        <v>57</v>
      </c>
      <c r="E362" s="16" t="s">
        <v>29</v>
      </c>
      <c r="F362" s="16" t="s">
        <v>135</v>
      </c>
      <c r="G362" s="16" t="s">
        <v>42</v>
      </c>
      <c r="H362" s="16" t="s">
        <v>133</v>
      </c>
      <c r="I362" s="16" t="s">
        <v>117</v>
      </c>
      <c r="J362" s="16">
        <v>16</v>
      </c>
      <c r="K362" s="18">
        <v>10560</v>
      </c>
      <c r="L362" s="18">
        <v>168960</v>
      </c>
      <c r="M362" s="18">
        <v>117043.42</v>
      </c>
      <c r="N362" s="18">
        <v>51916.58</v>
      </c>
      <c r="O362" s="19">
        <v>0.30730000000000002</v>
      </c>
      <c r="P362" s="16" t="s">
        <v>80</v>
      </c>
    </row>
    <row r="363" spans="1:16" x14ac:dyDescent="0.3">
      <c r="A363" s="20" t="s">
        <v>499</v>
      </c>
      <c r="B363" s="21">
        <v>45445</v>
      </c>
      <c r="C363" s="20" t="s">
        <v>125</v>
      </c>
      <c r="D363" s="20" t="s">
        <v>55</v>
      </c>
      <c r="E363" s="20" t="s">
        <v>29</v>
      </c>
      <c r="F363" s="20" t="s">
        <v>135</v>
      </c>
      <c r="G363" s="20" t="s">
        <v>38</v>
      </c>
      <c r="H363" s="20" t="s">
        <v>84</v>
      </c>
      <c r="I363" s="20" t="s">
        <v>79</v>
      </c>
      <c r="J363" s="20">
        <v>15</v>
      </c>
      <c r="K363" s="22">
        <v>76190</v>
      </c>
      <c r="L363" s="22">
        <v>1142850</v>
      </c>
      <c r="M363" s="22">
        <v>928808.03</v>
      </c>
      <c r="N363" s="22">
        <v>214041.97</v>
      </c>
      <c r="O363" s="23">
        <v>0.18729999999999999</v>
      </c>
      <c r="P363" s="20" t="s">
        <v>80</v>
      </c>
    </row>
    <row r="364" spans="1:16" x14ac:dyDescent="0.3">
      <c r="A364" s="16" t="s">
        <v>500</v>
      </c>
      <c r="B364" s="17">
        <v>45400</v>
      </c>
      <c r="C364" s="16" t="s">
        <v>142</v>
      </c>
      <c r="D364" s="16" t="s">
        <v>55</v>
      </c>
      <c r="E364" s="16" t="s">
        <v>30</v>
      </c>
      <c r="F364" s="16" t="s">
        <v>126</v>
      </c>
      <c r="G364" s="16" t="s">
        <v>38</v>
      </c>
      <c r="H364" s="16" t="s">
        <v>84</v>
      </c>
      <c r="I364" s="16" t="s">
        <v>131</v>
      </c>
      <c r="J364" s="16">
        <v>14</v>
      </c>
      <c r="K364" s="18">
        <v>79120</v>
      </c>
      <c r="L364" s="18">
        <v>1107680</v>
      </c>
      <c r="M364" s="18">
        <v>897008.21</v>
      </c>
      <c r="N364" s="18">
        <v>210671.79</v>
      </c>
      <c r="O364" s="19">
        <v>0.19020000000000001</v>
      </c>
      <c r="P364" s="16" t="s">
        <v>80</v>
      </c>
    </row>
    <row r="365" spans="1:16" x14ac:dyDescent="0.3">
      <c r="A365" s="20" t="s">
        <v>501</v>
      </c>
      <c r="B365" s="21">
        <v>45367</v>
      </c>
      <c r="C365" s="20" t="s">
        <v>122</v>
      </c>
      <c r="D365" s="20" t="s">
        <v>53</v>
      </c>
      <c r="E365" s="20" t="s">
        <v>33</v>
      </c>
      <c r="F365" s="20" t="s">
        <v>83</v>
      </c>
      <c r="G365" s="20" t="s">
        <v>40</v>
      </c>
      <c r="H365" s="20" t="s">
        <v>151</v>
      </c>
      <c r="I365" s="20" t="s">
        <v>85</v>
      </c>
      <c r="J365" s="20">
        <v>13</v>
      </c>
      <c r="K365" s="22">
        <v>900</v>
      </c>
      <c r="L365" s="22">
        <v>11700</v>
      </c>
      <c r="M365" s="22">
        <v>9533.1</v>
      </c>
      <c r="N365" s="22">
        <v>2166.9</v>
      </c>
      <c r="O365" s="23">
        <v>0.1852</v>
      </c>
      <c r="P365" s="20" t="s">
        <v>80</v>
      </c>
    </row>
    <row r="366" spans="1:16" x14ac:dyDescent="0.3">
      <c r="A366" s="16" t="s">
        <v>502</v>
      </c>
      <c r="B366" s="17">
        <v>45558</v>
      </c>
      <c r="C366" s="16" t="s">
        <v>202</v>
      </c>
      <c r="D366" s="16" t="s">
        <v>56</v>
      </c>
      <c r="E366" s="16" t="s">
        <v>32</v>
      </c>
      <c r="F366" s="16" t="s">
        <v>145</v>
      </c>
      <c r="G366" s="16" t="s">
        <v>42</v>
      </c>
      <c r="H366" s="16" t="s">
        <v>156</v>
      </c>
      <c r="I366" s="16" t="s">
        <v>146</v>
      </c>
      <c r="J366" s="16">
        <v>5</v>
      </c>
      <c r="K366" s="18">
        <v>6690</v>
      </c>
      <c r="L366" s="18">
        <v>33450</v>
      </c>
      <c r="M366" s="18">
        <v>23192.240000000002</v>
      </c>
      <c r="N366" s="18">
        <v>10257.76</v>
      </c>
      <c r="O366" s="19">
        <v>0.30669999999999997</v>
      </c>
      <c r="P366" s="16" t="s">
        <v>80</v>
      </c>
    </row>
    <row r="367" spans="1:16" x14ac:dyDescent="0.3">
      <c r="A367" s="20" t="s">
        <v>503</v>
      </c>
      <c r="B367" s="21">
        <v>45343</v>
      </c>
      <c r="C367" s="20" t="s">
        <v>82</v>
      </c>
      <c r="D367" s="20" t="s">
        <v>53</v>
      </c>
      <c r="E367" s="20" t="s">
        <v>29</v>
      </c>
      <c r="F367" s="20" t="s">
        <v>150</v>
      </c>
      <c r="G367" s="20" t="s">
        <v>38</v>
      </c>
      <c r="H367" s="20" t="s">
        <v>223</v>
      </c>
      <c r="I367" s="20" t="s">
        <v>117</v>
      </c>
      <c r="J367" s="20">
        <v>14</v>
      </c>
      <c r="K367" s="22">
        <v>71010</v>
      </c>
      <c r="L367" s="22">
        <v>994140</v>
      </c>
      <c r="M367" s="22">
        <v>798877.32</v>
      </c>
      <c r="N367" s="22">
        <v>195262.68</v>
      </c>
      <c r="O367" s="23">
        <v>0.19639999999999999</v>
      </c>
      <c r="P367" s="20" t="s">
        <v>80</v>
      </c>
    </row>
    <row r="368" spans="1:16" x14ac:dyDescent="0.3">
      <c r="A368" s="16" t="s">
        <v>504</v>
      </c>
      <c r="B368" s="17">
        <v>45584</v>
      </c>
      <c r="C368" s="16" t="s">
        <v>107</v>
      </c>
      <c r="D368" s="16" t="s">
        <v>57</v>
      </c>
      <c r="E368" s="16" t="s">
        <v>33</v>
      </c>
      <c r="F368" s="16" t="s">
        <v>83</v>
      </c>
      <c r="G368" s="16" t="s">
        <v>38</v>
      </c>
      <c r="H368" s="16" t="s">
        <v>119</v>
      </c>
      <c r="I368" s="16" t="s">
        <v>85</v>
      </c>
      <c r="J368" s="16">
        <v>20</v>
      </c>
      <c r="K368" s="18">
        <v>35220</v>
      </c>
      <c r="L368" s="18">
        <v>704400</v>
      </c>
      <c r="M368" s="18">
        <v>541778.31999999995</v>
      </c>
      <c r="N368" s="18">
        <v>162621.68</v>
      </c>
      <c r="O368" s="19">
        <v>0.23089999999999999</v>
      </c>
      <c r="P368" s="16" t="s">
        <v>80</v>
      </c>
    </row>
    <row r="369" spans="1:16" x14ac:dyDescent="0.3">
      <c r="A369" s="20" t="s">
        <v>505</v>
      </c>
      <c r="B369" s="21">
        <v>45311</v>
      </c>
      <c r="C369" s="20" t="s">
        <v>116</v>
      </c>
      <c r="D369" s="20" t="s">
        <v>53</v>
      </c>
      <c r="E369" s="20" t="s">
        <v>32</v>
      </c>
      <c r="F369" s="20" t="s">
        <v>177</v>
      </c>
      <c r="G369" s="20" t="s">
        <v>39</v>
      </c>
      <c r="H369" s="20" t="s">
        <v>137</v>
      </c>
      <c r="I369" s="20" t="s">
        <v>140</v>
      </c>
      <c r="J369" s="20">
        <v>12</v>
      </c>
      <c r="K369" s="22">
        <v>4640</v>
      </c>
      <c r="L369" s="22">
        <v>55680</v>
      </c>
      <c r="M369" s="22">
        <v>33295.339999999997</v>
      </c>
      <c r="N369" s="22">
        <v>22384.66</v>
      </c>
      <c r="O369" s="23">
        <v>0.40200000000000002</v>
      </c>
      <c r="P369" s="20" t="s">
        <v>80</v>
      </c>
    </row>
    <row r="370" spans="1:16" x14ac:dyDescent="0.3">
      <c r="A370" s="16" t="s">
        <v>506</v>
      </c>
      <c r="B370" s="17">
        <v>45447</v>
      </c>
      <c r="C370" s="16" t="s">
        <v>125</v>
      </c>
      <c r="D370" s="16" t="s">
        <v>55</v>
      </c>
      <c r="E370" s="16" t="s">
        <v>31</v>
      </c>
      <c r="F370" s="16" t="s">
        <v>91</v>
      </c>
      <c r="G370" s="16" t="s">
        <v>41</v>
      </c>
      <c r="H370" s="16" t="s">
        <v>169</v>
      </c>
      <c r="I370" s="16" t="s">
        <v>93</v>
      </c>
      <c r="J370" s="16">
        <v>15</v>
      </c>
      <c r="K370" s="18">
        <v>9320</v>
      </c>
      <c r="L370" s="18">
        <v>139800</v>
      </c>
      <c r="M370" s="18">
        <v>87039.05</v>
      </c>
      <c r="N370" s="18">
        <v>52760.95</v>
      </c>
      <c r="O370" s="19">
        <v>0.37740000000000001</v>
      </c>
      <c r="P370" s="16" t="s">
        <v>80</v>
      </c>
    </row>
    <row r="371" spans="1:16" x14ac:dyDescent="0.3">
      <c r="A371" s="20" t="s">
        <v>507</v>
      </c>
      <c r="B371" s="21">
        <v>45505</v>
      </c>
      <c r="C371" s="20" t="s">
        <v>90</v>
      </c>
      <c r="D371" s="20" t="s">
        <v>56</v>
      </c>
      <c r="E371" s="20" t="s">
        <v>33</v>
      </c>
      <c r="F371" s="20" t="s">
        <v>104</v>
      </c>
      <c r="G371" s="20" t="s">
        <v>38</v>
      </c>
      <c r="H371" s="20" t="s">
        <v>123</v>
      </c>
      <c r="I371" s="20" t="s">
        <v>85</v>
      </c>
      <c r="J371" s="20">
        <v>14</v>
      </c>
      <c r="K371" s="22">
        <v>20850</v>
      </c>
      <c r="L371" s="22">
        <v>291900</v>
      </c>
      <c r="M371" s="22">
        <v>220648.82</v>
      </c>
      <c r="N371" s="22">
        <v>71251.179999999993</v>
      </c>
      <c r="O371" s="23">
        <v>0.24410000000000001</v>
      </c>
      <c r="P371" s="20" t="s">
        <v>80</v>
      </c>
    </row>
    <row r="372" spans="1:16" x14ac:dyDescent="0.3">
      <c r="A372" s="16" t="s">
        <v>508</v>
      </c>
      <c r="B372" s="17">
        <v>45483</v>
      </c>
      <c r="C372" s="16" t="s">
        <v>98</v>
      </c>
      <c r="D372" s="16" t="s">
        <v>56</v>
      </c>
      <c r="E372" s="16" t="s">
        <v>29</v>
      </c>
      <c r="F372" s="16" t="s">
        <v>150</v>
      </c>
      <c r="G372" s="16" t="s">
        <v>39</v>
      </c>
      <c r="H372" s="16" t="s">
        <v>92</v>
      </c>
      <c r="I372" s="16" t="s">
        <v>79</v>
      </c>
      <c r="J372" s="16">
        <v>13</v>
      </c>
      <c r="K372" s="18">
        <v>3690</v>
      </c>
      <c r="L372" s="18">
        <v>47970</v>
      </c>
      <c r="M372" s="18">
        <v>28131.29</v>
      </c>
      <c r="N372" s="18">
        <v>19838.71</v>
      </c>
      <c r="O372" s="19">
        <v>0.41360000000000002</v>
      </c>
      <c r="P372" s="16" t="s">
        <v>80</v>
      </c>
    </row>
    <row r="373" spans="1:16" x14ac:dyDescent="0.3">
      <c r="A373" s="20" t="s">
        <v>509</v>
      </c>
      <c r="B373" s="21">
        <v>45583</v>
      </c>
      <c r="C373" s="20" t="s">
        <v>107</v>
      </c>
      <c r="D373" s="20" t="s">
        <v>57</v>
      </c>
      <c r="E373" s="20" t="s">
        <v>29</v>
      </c>
      <c r="F373" s="20" t="s">
        <v>77</v>
      </c>
      <c r="G373" s="20" t="s">
        <v>39</v>
      </c>
      <c r="H373" s="20" t="s">
        <v>127</v>
      </c>
      <c r="I373" s="20" t="s">
        <v>79</v>
      </c>
      <c r="J373" s="20">
        <v>15</v>
      </c>
      <c r="K373" s="22">
        <v>1620</v>
      </c>
      <c r="L373" s="22">
        <v>24300</v>
      </c>
      <c r="M373" s="22">
        <v>14457.14</v>
      </c>
      <c r="N373" s="22">
        <v>9842.86</v>
      </c>
      <c r="O373" s="23">
        <v>0.40510000000000002</v>
      </c>
      <c r="P373" s="20" t="s">
        <v>80</v>
      </c>
    </row>
    <row r="374" spans="1:16" x14ac:dyDescent="0.3">
      <c r="A374" s="16" t="s">
        <v>510</v>
      </c>
      <c r="B374" s="17">
        <v>45393</v>
      </c>
      <c r="C374" s="16" t="s">
        <v>142</v>
      </c>
      <c r="D374" s="16" t="s">
        <v>55</v>
      </c>
      <c r="E374" s="16" t="s">
        <v>31</v>
      </c>
      <c r="F374" s="16" t="s">
        <v>91</v>
      </c>
      <c r="G374" s="16" t="s">
        <v>41</v>
      </c>
      <c r="H374" s="16" t="s">
        <v>163</v>
      </c>
      <c r="I374" s="16" t="s">
        <v>112</v>
      </c>
      <c r="J374" s="16">
        <v>8</v>
      </c>
      <c r="K374" s="18">
        <v>35020</v>
      </c>
      <c r="L374" s="18">
        <v>280160</v>
      </c>
      <c r="M374" s="18">
        <v>185676.97</v>
      </c>
      <c r="N374" s="18">
        <v>94483.03</v>
      </c>
      <c r="O374" s="19">
        <v>0.3372</v>
      </c>
      <c r="P374" s="16" t="s">
        <v>80</v>
      </c>
    </row>
    <row r="375" spans="1:16" x14ac:dyDescent="0.3">
      <c r="A375" s="20" t="s">
        <v>511</v>
      </c>
      <c r="B375" s="21">
        <v>45382</v>
      </c>
      <c r="C375" s="20" t="s">
        <v>122</v>
      </c>
      <c r="D375" s="20" t="s">
        <v>53</v>
      </c>
      <c r="E375" s="20" t="s">
        <v>32</v>
      </c>
      <c r="F375" s="20" t="s">
        <v>139</v>
      </c>
      <c r="G375" s="20" t="s">
        <v>42</v>
      </c>
      <c r="H375" s="20" t="s">
        <v>114</v>
      </c>
      <c r="I375" s="20" t="s">
        <v>146</v>
      </c>
      <c r="J375" s="20">
        <v>9</v>
      </c>
      <c r="K375" s="22">
        <v>3120</v>
      </c>
      <c r="L375" s="22">
        <v>28080</v>
      </c>
      <c r="M375" s="22">
        <v>18956.919999999998</v>
      </c>
      <c r="N375" s="22">
        <v>9123.08</v>
      </c>
      <c r="O375" s="23">
        <v>0.32490000000000002</v>
      </c>
      <c r="P375" s="20" t="s">
        <v>80</v>
      </c>
    </row>
    <row r="376" spans="1:16" x14ac:dyDescent="0.3">
      <c r="A376" s="16" t="s">
        <v>512</v>
      </c>
      <c r="B376" s="17">
        <v>45437</v>
      </c>
      <c r="C376" s="16" t="s">
        <v>13</v>
      </c>
      <c r="D376" s="16" t="s">
        <v>55</v>
      </c>
      <c r="E376" s="16" t="s">
        <v>29</v>
      </c>
      <c r="F376" s="16" t="s">
        <v>135</v>
      </c>
      <c r="G376" s="16" t="s">
        <v>38</v>
      </c>
      <c r="H376" s="16" t="s">
        <v>223</v>
      </c>
      <c r="I376" s="16" t="s">
        <v>79</v>
      </c>
      <c r="J376" s="16">
        <v>7</v>
      </c>
      <c r="K376" s="18">
        <v>63490</v>
      </c>
      <c r="L376" s="18">
        <v>444430</v>
      </c>
      <c r="M376" s="18">
        <v>330784.31</v>
      </c>
      <c r="N376" s="18">
        <v>113645.69</v>
      </c>
      <c r="O376" s="19">
        <v>0.25569999999999998</v>
      </c>
      <c r="P376" s="16" t="s">
        <v>80</v>
      </c>
    </row>
    <row r="377" spans="1:16" x14ac:dyDescent="0.3">
      <c r="A377" s="20" t="s">
        <v>513</v>
      </c>
      <c r="B377" s="21">
        <v>45638</v>
      </c>
      <c r="C377" s="20" t="s">
        <v>175</v>
      </c>
      <c r="D377" s="20" t="s">
        <v>57</v>
      </c>
      <c r="E377" s="20" t="s">
        <v>30</v>
      </c>
      <c r="F377" s="20" t="s">
        <v>158</v>
      </c>
      <c r="G377" s="20" t="s">
        <v>41</v>
      </c>
      <c r="H377" s="20" t="s">
        <v>163</v>
      </c>
      <c r="I377" s="20" t="s">
        <v>109</v>
      </c>
      <c r="J377" s="20">
        <v>5</v>
      </c>
      <c r="K377" s="22">
        <v>25280</v>
      </c>
      <c r="L377" s="22">
        <v>126400</v>
      </c>
      <c r="M377" s="22">
        <v>80297.22</v>
      </c>
      <c r="N377" s="22">
        <v>46102.78</v>
      </c>
      <c r="O377" s="23">
        <v>0.36470000000000002</v>
      </c>
      <c r="P377" s="20" t="s">
        <v>80</v>
      </c>
    </row>
    <row r="378" spans="1:16" x14ac:dyDescent="0.3">
      <c r="A378" s="16" t="s">
        <v>514</v>
      </c>
      <c r="B378" s="17">
        <v>45296</v>
      </c>
      <c r="C378" s="16" t="s">
        <v>116</v>
      </c>
      <c r="D378" s="16" t="s">
        <v>53</v>
      </c>
      <c r="E378" s="16" t="s">
        <v>30</v>
      </c>
      <c r="F378" s="16" t="s">
        <v>158</v>
      </c>
      <c r="G378" s="16" t="s">
        <v>42</v>
      </c>
      <c r="H378" s="16" t="s">
        <v>114</v>
      </c>
      <c r="I378" s="16" t="s">
        <v>131</v>
      </c>
      <c r="J378" s="16">
        <v>13</v>
      </c>
      <c r="K378" s="18">
        <v>6820</v>
      </c>
      <c r="L378" s="18">
        <v>88660</v>
      </c>
      <c r="M378" s="18">
        <v>58944.84</v>
      </c>
      <c r="N378" s="18">
        <v>29715.16</v>
      </c>
      <c r="O378" s="19">
        <v>0.3352</v>
      </c>
      <c r="P378" s="16" t="s">
        <v>80</v>
      </c>
    </row>
    <row r="379" spans="1:16" x14ac:dyDescent="0.3">
      <c r="A379" s="20" t="s">
        <v>515</v>
      </c>
      <c r="B379" s="21">
        <v>45403</v>
      </c>
      <c r="C379" s="20" t="s">
        <v>142</v>
      </c>
      <c r="D379" s="20" t="s">
        <v>55</v>
      </c>
      <c r="E379" s="20" t="s">
        <v>32</v>
      </c>
      <c r="F379" s="20" t="s">
        <v>177</v>
      </c>
      <c r="G379" s="20" t="s">
        <v>42</v>
      </c>
      <c r="H379" s="20" t="s">
        <v>133</v>
      </c>
      <c r="I379" s="20" t="s">
        <v>146</v>
      </c>
      <c r="J379" s="20">
        <v>17</v>
      </c>
      <c r="K379" s="22">
        <v>2250</v>
      </c>
      <c r="L379" s="22">
        <v>38250</v>
      </c>
      <c r="M379" s="22">
        <v>24864.68</v>
      </c>
      <c r="N379" s="22">
        <v>13385.32</v>
      </c>
      <c r="O379" s="23">
        <v>0.34989999999999999</v>
      </c>
      <c r="P379" s="20" t="s">
        <v>80</v>
      </c>
    </row>
    <row r="380" spans="1:16" x14ac:dyDescent="0.3">
      <c r="A380" s="16" t="s">
        <v>516</v>
      </c>
      <c r="B380" s="17">
        <v>45483</v>
      </c>
      <c r="C380" s="16" t="s">
        <v>98</v>
      </c>
      <c r="D380" s="16" t="s">
        <v>56</v>
      </c>
      <c r="E380" s="16" t="s">
        <v>33</v>
      </c>
      <c r="F380" s="16" t="s">
        <v>104</v>
      </c>
      <c r="G380" s="16" t="s">
        <v>42</v>
      </c>
      <c r="H380" s="16" t="s">
        <v>114</v>
      </c>
      <c r="I380" s="16" t="s">
        <v>88</v>
      </c>
      <c r="J380" s="16">
        <v>16</v>
      </c>
      <c r="K380" s="18">
        <v>10520</v>
      </c>
      <c r="L380" s="18">
        <v>168320</v>
      </c>
      <c r="M380" s="18">
        <v>125165.49</v>
      </c>
      <c r="N380" s="18">
        <v>43154.51</v>
      </c>
      <c r="O380" s="19">
        <v>0.25640000000000002</v>
      </c>
      <c r="P380" s="16" t="s">
        <v>80</v>
      </c>
    </row>
    <row r="381" spans="1:16" x14ac:dyDescent="0.3">
      <c r="A381" s="20" t="s">
        <v>517</v>
      </c>
      <c r="B381" s="21">
        <v>45619</v>
      </c>
      <c r="C381" s="20" t="s">
        <v>76</v>
      </c>
      <c r="D381" s="20" t="s">
        <v>57</v>
      </c>
      <c r="E381" s="20" t="s">
        <v>31</v>
      </c>
      <c r="F381" s="20" t="s">
        <v>91</v>
      </c>
      <c r="G381" s="20" t="s">
        <v>40</v>
      </c>
      <c r="H381" s="20" t="s">
        <v>78</v>
      </c>
      <c r="I381" s="20" t="s">
        <v>112</v>
      </c>
      <c r="J381" s="20">
        <v>8</v>
      </c>
      <c r="K381" s="22">
        <v>470</v>
      </c>
      <c r="L381" s="22">
        <v>3760</v>
      </c>
      <c r="M381" s="22">
        <v>2932.92</v>
      </c>
      <c r="N381" s="22">
        <v>827.08</v>
      </c>
      <c r="O381" s="23">
        <v>0.22</v>
      </c>
      <c r="P381" s="20" t="s">
        <v>80</v>
      </c>
    </row>
    <row r="382" spans="1:16" x14ac:dyDescent="0.3">
      <c r="A382" s="16" t="s">
        <v>518</v>
      </c>
      <c r="B382" s="17">
        <v>45599</v>
      </c>
      <c r="C382" s="16" t="s">
        <v>76</v>
      </c>
      <c r="D382" s="16" t="s">
        <v>57</v>
      </c>
      <c r="E382" s="16" t="s">
        <v>32</v>
      </c>
      <c r="F382" s="16" t="s">
        <v>139</v>
      </c>
      <c r="G382" s="16" t="s">
        <v>40</v>
      </c>
      <c r="H382" s="16" t="s">
        <v>151</v>
      </c>
      <c r="I382" s="16" t="s">
        <v>140</v>
      </c>
      <c r="J382" s="16">
        <v>10</v>
      </c>
      <c r="K382" s="18">
        <v>1380</v>
      </c>
      <c r="L382" s="18">
        <v>13800</v>
      </c>
      <c r="M382" s="18">
        <v>11647.99</v>
      </c>
      <c r="N382" s="18">
        <v>2152.0100000000002</v>
      </c>
      <c r="O382" s="19">
        <v>0.15590000000000001</v>
      </c>
      <c r="P382" s="16" t="s">
        <v>80</v>
      </c>
    </row>
    <row r="383" spans="1:16" x14ac:dyDescent="0.3">
      <c r="A383" s="20" t="s">
        <v>519</v>
      </c>
      <c r="B383" s="21">
        <v>45490</v>
      </c>
      <c r="C383" s="20" t="s">
        <v>98</v>
      </c>
      <c r="D383" s="20" t="s">
        <v>56</v>
      </c>
      <c r="E383" s="20" t="s">
        <v>29</v>
      </c>
      <c r="F383" s="20" t="s">
        <v>150</v>
      </c>
      <c r="G383" s="20" t="s">
        <v>42</v>
      </c>
      <c r="H383" s="20" t="s">
        <v>114</v>
      </c>
      <c r="I383" s="20" t="s">
        <v>79</v>
      </c>
      <c r="J383" s="20">
        <v>8</v>
      </c>
      <c r="K383" s="22">
        <v>11120</v>
      </c>
      <c r="L383" s="22">
        <v>88960</v>
      </c>
      <c r="M383" s="22">
        <v>60614.51</v>
      </c>
      <c r="N383" s="22">
        <v>28345.49</v>
      </c>
      <c r="O383" s="23">
        <v>0.31859999999999999</v>
      </c>
      <c r="P383" s="20" t="s">
        <v>80</v>
      </c>
    </row>
    <row r="384" spans="1:16" x14ac:dyDescent="0.3">
      <c r="A384" s="16" t="s">
        <v>520</v>
      </c>
      <c r="B384" s="17">
        <v>45535</v>
      </c>
      <c r="C384" s="16" t="s">
        <v>90</v>
      </c>
      <c r="D384" s="16" t="s">
        <v>56</v>
      </c>
      <c r="E384" s="16" t="s">
        <v>31</v>
      </c>
      <c r="F384" s="16" t="s">
        <v>208</v>
      </c>
      <c r="G384" s="16" t="s">
        <v>40</v>
      </c>
      <c r="H384" s="16" t="s">
        <v>180</v>
      </c>
      <c r="I384" s="16" t="s">
        <v>93</v>
      </c>
      <c r="J384" s="16">
        <v>4</v>
      </c>
      <c r="K384" s="18">
        <v>530</v>
      </c>
      <c r="L384" s="18">
        <v>2120</v>
      </c>
      <c r="M384" s="18">
        <v>1744.59</v>
      </c>
      <c r="N384" s="18">
        <v>375.41</v>
      </c>
      <c r="O384" s="19">
        <v>0.17710000000000001</v>
      </c>
      <c r="P384" s="16" t="s">
        <v>80</v>
      </c>
    </row>
    <row r="385" spans="1:16" x14ac:dyDescent="0.3">
      <c r="A385" s="20" t="s">
        <v>521</v>
      </c>
      <c r="B385" s="21">
        <v>45578</v>
      </c>
      <c r="C385" s="20" t="s">
        <v>107</v>
      </c>
      <c r="D385" s="20" t="s">
        <v>57</v>
      </c>
      <c r="E385" s="20" t="s">
        <v>30</v>
      </c>
      <c r="F385" s="20" t="s">
        <v>108</v>
      </c>
      <c r="G385" s="20" t="s">
        <v>40</v>
      </c>
      <c r="H385" s="20" t="s">
        <v>78</v>
      </c>
      <c r="I385" s="20" t="s">
        <v>109</v>
      </c>
      <c r="J385" s="20">
        <v>10</v>
      </c>
      <c r="K385" s="22">
        <v>840</v>
      </c>
      <c r="L385" s="22">
        <v>8400</v>
      </c>
      <c r="M385" s="22">
        <v>6954.8</v>
      </c>
      <c r="N385" s="22">
        <v>1445.2</v>
      </c>
      <c r="O385" s="23">
        <v>0.17199999999999999</v>
      </c>
      <c r="P385" s="20" t="s">
        <v>80</v>
      </c>
    </row>
    <row r="386" spans="1:16" x14ac:dyDescent="0.3">
      <c r="A386" s="16" t="s">
        <v>522</v>
      </c>
      <c r="B386" s="17">
        <v>45482</v>
      </c>
      <c r="C386" s="16" t="s">
        <v>98</v>
      </c>
      <c r="D386" s="16" t="s">
        <v>56</v>
      </c>
      <c r="E386" s="16" t="s">
        <v>31</v>
      </c>
      <c r="F386" s="16" t="s">
        <v>208</v>
      </c>
      <c r="G386" s="16" t="s">
        <v>40</v>
      </c>
      <c r="H386" s="16" t="s">
        <v>151</v>
      </c>
      <c r="I386" s="16" t="s">
        <v>112</v>
      </c>
      <c r="J386" s="16">
        <v>19</v>
      </c>
      <c r="K386" s="18">
        <v>1050</v>
      </c>
      <c r="L386" s="18">
        <v>19950</v>
      </c>
      <c r="M386" s="18">
        <v>16198.78</v>
      </c>
      <c r="N386" s="18">
        <v>3751.22</v>
      </c>
      <c r="O386" s="19">
        <v>0.188</v>
      </c>
      <c r="P386" s="16" t="s">
        <v>80</v>
      </c>
    </row>
    <row r="387" spans="1:16" x14ac:dyDescent="0.3">
      <c r="A387" s="20" t="s">
        <v>523</v>
      </c>
      <c r="B387" s="21">
        <v>45533</v>
      </c>
      <c r="C387" s="20" t="s">
        <v>90</v>
      </c>
      <c r="D387" s="20" t="s">
        <v>56</v>
      </c>
      <c r="E387" s="20" t="s">
        <v>30</v>
      </c>
      <c r="F387" s="20" t="s">
        <v>108</v>
      </c>
      <c r="G387" s="20" t="s">
        <v>38</v>
      </c>
      <c r="H387" s="20" t="s">
        <v>223</v>
      </c>
      <c r="I387" s="20" t="s">
        <v>131</v>
      </c>
      <c r="J387" s="20">
        <v>2</v>
      </c>
      <c r="K387" s="22">
        <v>27380</v>
      </c>
      <c r="L387" s="22">
        <v>54760</v>
      </c>
      <c r="M387" s="22">
        <v>40682.03</v>
      </c>
      <c r="N387" s="22">
        <v>14077.97</v>
      </c>
      <c r="O387" s="23">
        <v>0.2571</v>
      </c>
      <c r="P387" s="20" t="s">
        <v>80</v>
      </c>
    </row>
    <row r="388" spans="1:16" x14ac:dyDescent="0.3">
      <c r="A388" s="16" t="s">
        <v>524</v>
      </c>
      <c r="B388" s="17">
        <v>45394</v>
      </c>
      <c r="C388" s="16" t="s">
        <v>142</v>
      </c>
      <c r="D388" s="16" t="s">
        <v>55</v>
      </c>
      <c r="E388" s="16" t="s">
        <v>31</v>
      </c>
      <c r="F388" s="16" t="s">
        <v>91</v>
      </c>
      <c r="G388" s="16" t="s">
        <v>42</v>
      </c>
      <c r="H388" s="16" t="s">
        <v>148</v>
      </c>
      <c r="I388" s="16" t="s">
        <v>112</v>
      </c>
      <c r="J388" s="16">
        <v>6</v>
      </c>
      <c r="K388" s="18">
        <v>5290</v>
      </c>
      <c r="L388" s="18">
        <v>31740</v>
      </c>
      <c r="M388" s="18">
        <v>21332.639999999999</v>
      </c>
      <c r="N388" s="18">
        <v>10407.36</v>
      </c>
      <c r="O388" s="19">
        <v>0.32790000000000002</v>
      </c>
      <c r="P388" s="16" t="s">
        <v>80</v>
      </c>
    </row>
    <row r="389" spans="1:16" x14ac:dyDescent="0.3">
      <c r="A389" s="20" t="s">
        <v>525</v>
      </c>
      <c r="B389" s="21">
        <v>45615</v>
      </c>
      <c r="C389" s="20" t="s">
        <v>76</v>
      </c>
      <c r="D389" s="20" t="s">
        <v>57</v>
      </c>
      <c r="E389" s="20" t="s">
        <v>30</v>
      </c>
      <c r="F389" s="20" t="s">
        <v>158</v>
      </c>
      <c r="G389" s="20" t="s">
        <v>38</v>
      </c>
      <c r="H389" s="20" t="s">
        <v>123</v>
      </c>
      <c r="I389" s="20" t="s">
        <v>109</v>
      </c>
      <c r="J389" s="20">
        <v>6</v>
      </c>
      <c r="K389" s="22">
        <v>25510</v>
      </c>
      <c r="L389" s="22">
        <v>153060</v>
      </c>
      <c r="M389" s="22">
        <v>118219.27</v>
      </c>
      <c r="N389" s="22">
        <v>34840.730000000003</v>
      </c>
      <c r="O389" s="23">
        <v>0.2276</v>
      </c>
      <c r="P389" s="20" t="s">
        <v>80</v>
      </c>
    </row>
    <row r="390" spans="1:16" x14ac:dyDescent="0.3">
      <c r="A390" s="16" t="s">
        <v>526</v>
      </c>
      <c r="B390" s="17">
        <v>45337</v>
      </c>
      <c r="C390" s="16" t="s">
        <v>82</v>
      </c>
      <c r="D390" s="16" t="s">
        <v>53</v>
      </c>
      <c r="E390" s="16" t="s">
        <v>30</v>
      </c>
      <c r="F390" s="16" t="s">
        <v>108</v>
      </c>
      <c r="G390" s="16" t="s">
        <v>41</v>
      </c>
      <c r="H390" s="16" t="s">
        <v>96</v>
      </c>
      <c r="I390" s="16" t="s">
        <v>131</v>
      </c>
      <c r="J390" s="16">
        <v>16</v>
      </c>
      <c r="K390" s="18">
        <v>23160</v>
      </c>
      <c r="L390" s="18">
        <v>370560</v>
      </c>
      <c r="M390" s="18">
        <v>245187.83</v>
      </c>
      <c r="N390" s="18">
        <v>125372.17</v>
      </c>
      <c r="O390" s="19">
        <v>0.33829999999999999</v>
      </c>
      <c r="P390" s="16" t="s">
        <v>110</v>
      </c>
    </row>
    <row r="391" spans="1:16" x14ac:dyDescent="0.3">
      <c r="A391" s="20" t="s">
        <v>527</v>
      </c>
      <c r="B391" s="21">
        <v>45394</v>
      </c>
      <c r="C391" s="20" t="s">
        <v>142</v>
      </c>
      <c r="D391" s="20" t="s">
        <v>55</v>
      </c>
      <c r="E391" s="20" t="s">
        <v>31</v>
      </c>
      <c r="F391" s="20" t="s">
        <v>95</v>
      </c>
      <c r="G391" s="20" t="s">
        <v>40</v>
      </c>
      <c r="H391" s="20" t="s">
        <v>151</v>
      </c>
      <c r="I391" s="20" t="s">
        <v>93</v>
      </c>
      <c r="J391" s="20">
        <v>8</v>
      </c>
      <c r="K391" s="22">
        <v>1420</v>
      </c>
      <c r="L391" s="22">
        <v>11360</v>
      </c>
      <c r="M391" s="22">
        <v>9626.16</v>
      </c>
      <c r="N391" s="22">
        <v>1733.84</v>
      </c>
      <c r="O391" s="23">
        <v>0.15260000000000001</v>
      </c>
      <c r="P391" s="20" t="s">
        <v>80</v>
      </c>
    </row>
    <row r="392" spans="1:16" x14ac:dyDescent="0.3">
      <c r="A392" s="16" t="s">
        <v>528</v>
      </c>
      <c r="B392" s="17">
        <v>45451</v>
      </c>
      <c r="C392" s="16" t="s">
        <v>125</v>
      </c>
      <c r="D392" s="16" t="s">
        <v>55</v>
      </c>
      <c r="E392" s="16" t="s">
        <v>30</v>
      </c>
      <c r="F392" s="16" t="s">
        <v>126</v>
      </c>
      <c r="G392" s="16" t="s">
        <v>41</v>
      </c>
      <c r="H392" s="16" t="s">
        <v>169</v>
      </c>
      <c r="I392" s="16" t="s">
        <v>131</v>
      </c>
      <c r="J392" s="16">
        <v>2</v>
      </c>
      <c r="K392" s="18">
        <v>6070</v>
      </c>
      <c r="L392" s="18">
        <v>12140</v>
      </c>
      <c r="M392" s="18">
        <v>8135.98</v>
      </c>
      <c r="N392" s="18">
        <v>4004.02</v>
      </c>
      <c r="O392" s="19">
        <v>0.32979999999999998</v>
      </c>
      <c r="P392" s="16" t="s">
        <v>80</v>
      </c>
    </row>
    <row r="393" spans="1:16" x14ac:dyDescent="0.3">
      <c r="A393" s="20" t="s">
        <v>529</v>
      </c>
      <c r="B393" s="21">
        <v>45558</v>
      </c>
      <c r="C393" s="20" t="s">
        <v>202</v>
      </c>
      <c r="D393" s="20" t="s">
        <v>56</v>
      </c>
      <c r="E393" s="20" t="s">
        <v>33</v>
      </c>
      <c r="F393" s="20" t="s">
        <v>104</v>
      </c>
      <c r="G393" s="20" t="s">
        <v>40</v>
      </c>
      <c r="H393" s="20" t="s">
        <v>78</v>
      </c>
      <c r="I393" s="20" t="s">
        <v>88</v>
      </c>
      <c r="J393" s="20">
        <v>16</v>
      </c>
      <c r="K393" s="22">
        <v>820</v>
      </c>
      <c r="L393" s="22">
        <v>13120</v>
      </c>
      <c r="M393" s="22">
        <v>10943.06</v>
      </c>
      <c r="N393" s="22">
        <v>2176.94</v>
      </c>
      <c r="O393" s="23">
        <v>0.16589999999999999</v>
      </c>
      <c r="P393" s="20" t="s">
        <v>80</v>
      </c>
    </row>
    <row r="394" spans="1:16" x14ac:dyDescent="0.3">
      <c r="A394" s="16" t="s">
        <v>530</v>
      </c>
      <c r="B394" s="17">
        <v>45498</v>
      </c>
      <c r="C394" s="16" t="s">
        <v>98</v>
      </c>
      <c r="D394" s="16" t="s">
        <v>56</v>
      </c>
      <c r="E394" s="16" t="s">
        <v>29</v>
      </c>
      <c r="F394" s="16" t="s">
        <v>77</v>
      </c>
      <c r="G394" s="16" t="s">
        <v>39</v>
      </c>
      <c r="H394" s="16" t="s">
        <v>105</v>
      </c>
      <c r="I394" s="16" t="s">
        <v>79</v>
      </c>
      <c r="J394" s="16">
        <v>19</v>
      </c>
      <c r="K394" s="18">
        <v>3800</v>
      </c>
      <c r="L394" s="18">
        <v>72200</v>
      </c>
      <c r="M394" s="18">
        <v>39676.550000000003</v>
      </c>
      <c r="N394" s="18">
        <v>32523.45</v>
      </c>
      <c r="O394" s="19">
        <v>0.45050000000000001</v>
      </c>
      <c r="P394" s="16" t="s">
        <v>80</v>
      </c>
    </row>
    <row r="395" spans="1:16" x14ac:dyDescent="0.3">
      <c r="A395" s="20" t="s">
        <v>531</v>
      </c>
      <c r="B395" s="21">
        <v>45656</v>
      </c>
      <c r="C395" s="20" t="s">
        <v>175</v>
      </c>
      <c r="D395" s="20" t="s">
        <v>57</v>
      </c>
      <c r="E395" s="20" t="s">
        <v>29</v>
      </c>
      <c r="F395" s="20" t="s">
        <v>135</v>
      </c>
      <c r="G395" s="20" t="s">
        <v>40</v>
      </c>
      <c r="H395" s="20" t="s">
        <v>180</v>
      </c>
      <c r="I395" s="20" t="s">
        <v>79</v>
      </c>
      <c r="J395" s="20">
        <v>4</v>
      </c>
      <c r="K395" s="22">
        <v>1990</v>
      </c>
      <c r="L395" s="22">
        <v>7960</v>
      </c>
      <c r="M395" s="22">
        <v>6404.96</v>
      </c>
      <c r="N395" s="22">
        <v>1555.04</v>
      </c>
      <c r="O395" s="23">
        <v>0.19539999999999999</v>
      </c>
      <c r="P395" s="20" t="s">
        <v>110</v>
      </c>
    </row>
    <row r="396" spans="1:16" x14ac:dyDescent="0.3">
      <c r="A396" s="16" t="s">
        <v>532</v>
      </c>
      <c r="B396" s="17">
        <v>45645</v>
      </c>
      <c r="C396" s="16" t="s">
        <v>175</v>
      </c>
      <c r="D396" s="16" t="s">
        <v>57</v>
      </c>
      <c r="E396" s="16" t="s">
        <v>29</v>
      </c>
      <c r="F396" s="16" t="s">
        <v>135</v>
      </c>
      <c r="G396" s="16" t="s">
        <v>41</v>
      </c>
      <c r="H396" s="16" t="s">
        <v>163</v>
      </c>
      <c r="I396" s="16" t="s">
        <v>117</v>
      </c>
      <c r="J396" s="16">
        <v>16</v>
      </c>
      <c r="K396" s="18">
        <v>28720</v>
      </c>
      <c r="L396" s="18">
        <v>459520</v>
      </c>
      <c r="M396" s="18">
        <v>289411.75</v>
      </c>
      <c r="N396" s="18">
        <v>170108.25</v>
      </c>
      <c r="O396" s="19">
        <v>0.37019999999999997</v>
      </c>
      <c r="P396" s="16" t="s">
        <v>80</v>
      </c>
    </row>
    <row r="397" spans="1:16" x14ac:dyDescent="0.3">
      <c r="A397" s="20" t="s">
        <v>533</v>
      </c>
      <c r="B397" s="21">
        <v>45643</v>
      </c>
      <c r="C397" s="20" t="s">
        <v>175</v>
      </c>
      <c r="D397" s="20" t="s">
        <v>57</v>
      </c>
      <c r="E397" s="20" t="s">
        <v>29</v>
      </c>
      <c r="F397" s="20" t="s">
        <v>135</v>
      </c>
      <c r="G397" s="20" t="s">
        <v>41</v>
      </c>
      <c r="H397" s="20" t="s">
        <v>178</v>
      </c>
      <c r="I397" s="20" t="s">
        <v>79</v>
      </c>
      <c r="J397" s="20">
        <v>20</v>
      </c>
      <c r="K397" s="22">
        <v>15690</v>
      </c>
      <c r="L397" s="22">
        <v>313800</v>
      </c>
      <c r="M397" s="22">
        <v>197671.21</v>
      </c>
      <c r="N397" s="22">
        <v>116128.79</v>
      </c>
      <c r="O397" s="23">
        <v>0.37009999999999998</v>
      </c>
      <c r="P397" s="20" t="s">
        <v>80</v>
      </c>
    </row>
    <row r="398" spans="1:16" x14ac:dyDescent="0.3">
      <c r="A398" s="16" t="s">
        <v>534</v>
      </c>
      <c r="B398" s="17">
        <v>45345</v>
      </c>
      <c r="C398" s="16" t="s">
        <v>82</v>
      </c>
      <c r="D398" s="16" t="s">
        <v>53</v>
      </c>
      <c r="E398" s="16" t="s">
        <v>33</v>
      </c>
      <c r="F398" s="16" t="s">
        <v>104</v>
      </c>
      <c r="G398" s="16" t="s">
        <v>42</v>
      </c>
      <c r="H398" s="16" t="s">
        <v>114</v>
      </c>
      <c r="I398" s="16" t="s">
        <v>85</v>
      </c>
      <c r="J398" s="16">
        <v>4</v>
      </c>
      <c r="K398" s="18">
        <v>2420</v>
      </c>
      <c r="L398" s="18">
        <v>9680</v>
      </c>
      <c r="M398" s="18">
        <v>6778.19</v>
      </c>
      <c r="N398" s="18">
        <v>2901.81</v>
      </c>
      <c r="O398" s="19">
        <v>0.29980000000000001</v>
      </c>
      <c r="P398" s="16" t="s">
        <v>80</v>
      </c>
    </row>
    <row r="399" spans="1:16" x14ac:dyDescent="0.3">
      <c r="A399" s="20" t="s">
        <v>535</v>
      </c>
      <c r="B399" s="21">
        <v>45426</v>
      </c>
      <c r="C399" s="20" t="s">
        <v>13</v>
      </c>
      <c r="D399" s="20" t="s">
        <v>55</v>
      </c>
      <c r="E399" s="20" t="s">
        <v>33</v>
      </c>
      <c r="F399" s="20" t="s">
        <v>99</v>
      </c>
      <c r="G399" s="20" t="s">
        <v>40</v>
      </c>
      <c r="H399" s="20" t="s">
        <v>102</v>
      </c>
      <c r="I399" s="20" t="s">
        <v>88</v>
      </c>
      <c r="J399" s="20">
        <v>18</v>
      </c>
      <c r="K399" s="22">
        <v>490</v>
      </c>
      <c r="L399" s="22">
        <v>8820</v>
      </c>
      <c r="M399" s="22">
        <v>7235.62</v>
      </c>
      <c r="N399" s="22">
        <v>1584.38</v>
      </c>
      <c r="O399" s="23">
        <v>0.17960000000000001</v>
      </c>
      <c r="P399" s="20" t="s">
        <v>80</v>
      </c>
    </row>
    <row r="400" spans="1:16" x14ac:dyDescent="0.3">
      <c r="A400" s="16" t="s">
        <v>536</v>
      </c>
      <c r="B400" s="17">
        <v>45538</v>
      </c>
      <c r="C400" s="16" t="s">
        <v>202</v>
      </c>
      <c r="D400" s="16" t="s">
        <v>56</v>
      </c>
      <c r="E400" s="16" t="s">
        <v>31</v>
      </c>
      <c r="F400" s="16" t="s">
        <v>95</v>
      </c>
      <c r="G400" s="16" t="s">
        <v>38</v>
      </c>
      <c r="H400" s="16" t="s">
        <v>84</v>
      </c>
      <c r="I400" s="16" t="s">
        <v>93</v>
      </c>
      <c r="J400" s="16">
        <v>19</v>
      </c>
      <c r="K400" s="18">
        <v>73020</v>
      </c>
      <c r="L400" s="18">
        <v>1387380</v>
      </c>
      <c r="M400" s="18">
        <v>1058706.6399999999</v>
      </c>
      <c r="N400" s="18">
        <v>328673.36</v>
      </c>
      <c r="O400" s="19">
        <v>0.2369</v>
      </c>
      <c r="P400" s="16" t="s">
        <v>80</v>
      </c>
    </row>
    <row r="401" spans="1:16" x14ac:dyDescent="0.3">
      <c r="A401" s="20" t="s">
        <v>537</v>
      </c>
      <c r="B401" s="21">
        <v>45338</v>
      </c>
      <c r="C401" s="20" t="s">
        <v>82</v>
      </c>
      <c r="D401" s="20" t="s">
        <v>53</v>
      </c>
      <c r="E401" s="20" t="s">
        <v>33</v>
      </c>
      <c r="F401" s="20" t="s">
        <v>99</v>
      </c>
      <c r="G401" s="20" t="s">
        <v>38</v>
      </c>
      <c r="H401" s="20" t="s">
        <v>100</v>
      </c>
      <c r="I401" s="20" t="s">
        <v>88</v>
      </c>
      <c r="J401" s="20">
        <v>10</v>
      </c>
      <c r="K401" s="22">
        <v>39260</v>
      </c>
      <c r="L401" s="22">
        <v>392600</v>
      </c>
      <c r="M401" s="22">
        <v>315488.45</v>
      </c>
      <c r="N401" s="22">
        <v>77111.55</v>
      </c>
      <c r="O401" s="23">
        <v>0.19639999999999999</v>
      </c>
      <c r="P401" s="20" t="s">
        <v>110</v>
      </c>
    </row>
    <row r="402" spans="1:16" x14ac:dyDescent="0.3">
      <c r="A402" s="16" t="s">
        <v>538</v>
      </c>
      <c r="B402" s="17">
        <v>45381</v>
      </c>
      <c r="C402" s="16" t="s">
        <v>122</v>
      </c>
      <c r="D402" s="16" t="s">
        <v>53</v>
      </c>
      <c r="E402" s="16" t="s">
        <v>29</v>
      </c>
      <c r="F402" s="16" t="s">
        <v>135</v>
      </c>
      <c r="G402" s="16" t="s">
        <v>40</v>
      </c>
      <c r="H402" s="16" t="s">
        <v>159</v>
      </c>
      <c r="I402" s="16" t="s">
        <v>117</v>
      </c>
      <c r="J402" s="16">
        <v>4</v>
      </c>
      <c r="K402" s="18">
        <v>1530</v>
      </c>
      <c r="L402" s="18">
        <v>6120</v>
      </c>
      <c r="M402" s="18">
        <v>4803.4399999999996</v>
      </c>
      <c r="N402" s="18">
        <v>1316.56</v>
      </c>
      <c r="O402" s="19">
        <v>0.21510000000000001</v>
      </c>
      <c r="P402" s="16" t="s">
        <v>80</v>
      </c>
    </row>
    <row r="403" spans="1:16" x14ac:dyDescent="0.3">
      <c r="A403" s="20" t="s">
        <v>539</v>
      </c>
      <c r="B403" s="21">
        <v>45296</v>
      </c>
      <c r="C403" s="20" t="s">
        <v>116</v>
      </c>
      <c r="D403" s="20" t="s">
        <v>53</v>
      </c>
      <c r="E403" s="20" t="s">
        <v>30</v>
      </c>
      <c r="F403" s="20" t="s">
        <v>108</v>
      </c>
      <c r="G403" s="20" t="s">
        <v>39</v>
      </c>
      <c r="H403" s="20" t="s">
        <v>92</v>
      </c>
      <c r="I403" s="20" t="s">
        <v>131</v>
      </c>
      <c r="J403" s="20">
        <v>20</v>
      </c>
      <c r="K403" s="22">
        <v>4530</v>
      </c>
      <c r="L403" s="22">
        <v>90600</v>
      </c>
      <c r="M403" s="22">
        <v>51929.120000000003</v>
      </c>
      <c r="N403" s="22">
        <v>38670.879999999997</v>
      </c>
      <c r="O403" s="23">
        <v>0.42680000000000001</v>
      </c>
      <c r="P403" s="20" t="s">
        <v>80</v>
      </c>
    </row>
    <row r="404" spans="1:16" x14ac:dyDescent="0.3">
      <c r="A404" s="16" t="s">
        <v>540</v>
      </c>
      <c r="B404" s="17">
        <v>45482</v>
      </c>
      <c r="C404" s="16" t="s">
        <v>98</v>
      </c>
      <c r="D404" s="16" t="s">
        <v>56</v>
      </c>
      <c r="E404" s="16" t="s">
        <v>31</v>
      </c>
      <c r="F404" s="16" t="s">
        <v>95</v>
      </c>
      <c r="G404" s="16" t="s">
        <v>38</v>
      </c>
      <c r="H404" s="16" t="s">
        <v>123</v>
      </c>
      <c r="I404" s="16" t="s">
        <v>112</v>
      </c>
      <c r="J404" s="16">
        <v>9</v>
      </c>
      <c r="K404" s="18">
        <v>77170</v>
      </c>
      <c r="L404" s="18">
        <v>694530</v>
      </c>
      <c r="M404" s="18">
        <v>518417.45</v>
      </c>
      <c r="N404" s="18">
        <v>176112.55</v>
      </c>
      <c r="O404" s="19">
        <v>0.25359999999999999</v>
      </c>
      <c r="P404" s="16" t="s">
        <v>80</v>
      </c>
    </row>
    <row r="405" spans="1:16" x14ac:dyDescent="0.3">
      <c r="A405" s="20" t="s">
        <v>541</v>
      </c>
      <c r="B405" s="21">
        <v>45536</v>
      </c>
      <c r="C405" s="20" t="s">
        <v>202</v>
      </c>
      <c r="D405" s="20" t="s">
        <v>56</v>
      </c>
      <c r="E405" s="20" t="s">
        <v>32</v>
      </c>
      <c r="F405" s="20" t="s">
        <v>139</v>
      </c>
      <c r="G405" s="20" t="s">
        <v>39</v>
      </c>
      <c r="H405" s="20" t="s">
        <v>105</v>
      </c>
      <c r="I405" s="20" t="s">
        <v>140</v>
      </c>
      <c r="J405" s="20">
        <v>2</v>
      </c>
      <c r="K405" s="22">
        <v>3630</v>
      </c>
      <c r="L405" s="22">
        <v>7260</v>
      </c>
      <c r="M405" s="22">
        <v>3643.38</v>
      </c>
      <c r="N405" s="22">
        <v>3616.62</v>
      </c>
      <c r="O405" s="23">
        <v>0.49819999999999998</v>
      </c>
      <c r="P405" s="20" t="s">
        <v>80</v>
      </c>
    </row>
    <row r="406" spans="1:16" x14ac:dyDescent="0.3">
      <c r="A406" s="16" t="s">
        <v>542</v>
      </c>
      <c r="B406" s="17">
        <v>45345</v>
      </c>
      <c r="C406" s="16" t="s">
        <v>82</v>
      </c>
      <c r="D406" s="16" t="s">
        <v>53</v>
      </c>
      <c r="E406" s="16" t="s">
        <v>32</v>
      </c>
      <c r="F406" s="16" t="s">
        <v>139</v>
      </c>
      <c r="G406" s="16" t="s">
        <v>41</v>
      </c>
      <c r="H406" s="16" t="s">
        <v>169</v>
      </c>
      <c r="I406" s="16" t="s">
        <v>146</v>
      </c>
      <c r="J406" s="16">
        <v>12</v>
      </c>
      <c r="K406" s="18">
        <v>31730</v>
      </c>
      <c r="L406" s="18">
        <v>380760</v>
      </c>
      <c r="M406" s="18">
        <v>243253.92</v>
      </c>
      <c r="N406" s="18">
        <v>137506.07999999999</v>
      </c>
      <c r="O406" s="19">
        <v>0.36109999999999998</v>
      </c>
      <c r="P406" s="16" t="s">
        <v>80</v>
      </c>
    </row>
    <row r="407" spans="1:16" x14ac:dyDescent="0.3">
      <c r="A407" s="20" t="s">
        <v>543</v>
      </c>
      <c r="B407" s="21">
        <v>45358</v>
      </c>
      <c r="C407" s="20" t="s">
        <v>122</v>
      </c>
      <c r="D407" s="20" t="s">
        <v>53</v>
      </c>
      <c r="E407" s="20" t="s">
        <v>32</v>
      </c>
      <c r="F407" s="20" t="s">
        <v>177</v>
      </c>
      <c r="G407" s="20" t="s">
        <v>38</v>
      </c>
      <c r="H407" s="20" t="s">
        <v>123</v>
      </c>
      <c r="I407" s="20" t="s">
        <v>146</v>
      </c>
      <c r="J407" s="20">
        <v>9</v>
      </c>
      <c r="K407" s="22">
        <v>8450</v>
      </c>
      <c r="L407" s="22">
        <v>76050</v>
      </c>
      <c r="M407" s="22">
        <v>58140.43</v>
      </c>
      <c r="N407" s="22">
        <v>17909.57</v>
      </c>
      <c r="O407" s="23">
        <v>0.23549999999999999</v>
      </c>
      <c r="P407" s="20" t="s">
        <v>110</v>
      </c>
    </row>
    <row r="408" spans="1:16" x14ac:dyDescent="0.3">
      <c r="A408" s="16" t="s">
        <v>544</v>
      </c>
      <c r="B408" s="17">
        <v>45639</v>
      </c>
      <c r="C408" s="16" t="s">
        <v>175</v>
      </c>
      <c r="D408" s="16" t="s">
        <v>57</v>
      </c>
      <c r="E408" s="16" t="s">
        <v>33</v>
      </c>
      <c r="F408" s="16" t="s">
        <v>104</v>
      </c>
      <c r="G408" s="16" t="s">
        <v>42</v>
      </c>
      <c r="H408" s="16" t="s">
        <v>114</v>
      </c>
      <c r="I408" s="16" t="s">
        <v>85</v>
      </c>
      <c r="J408" s="16">
        <v>20</v>
      </c>
      <c r="K408" s="18">
        <v>8170</v>
      </c>
      <c r="L408" s="18">
        <v>163400</v>
      </c>
      <c r="M408" s="18">
        <v>120993.74</v>
      </c>
      <c r="N408" s="18">
        <v>42406.26</v>
      </c>
      <c r="O408" s="19">
        <v>0.25950000000000001</v>
      </c>
      <c r="P408" s="16" t="s">
        <v>80</v>
      </c>
    </row>
    <row r="409" spans="1:16" x14ac:dyDescent="0.3">
      <c r="A409" s="20" t="s">
        <v>545</v>
      </c>
      <c r="B409" s="21">
        <v>45419</v>
      </c>
      <c r="C409" s="20" t="s">
        <v>13</v>
      </c>
      <c r="D409" s="20" t="s">
        <v>55</v>
      </c>
      <c r="E409" s="20" t="s">
        <v>32</v>
      </c>
      <c r="F409" s="20" t="s">
        <v>177</v>
      </c>
      <c r="G409" s="20" t="s">
        <v>41</v>
      </c>
      <c r="H409" s="20" t="s">
        <v>178</v>
      </c>
      <c r="I409" s="20" t="s">
        <v>140</v>
      </c>
      <c r="J409" s="20">
        <v>20</v>
      </c>
      <c r="K409" s="22">
        <v>44930</v>
      </c>
      <c r="L409" s="22">
        <v>898600</v>
      </c>
      <c r="M409" s="22">
        <v>624116.68999999994</v>
      </c>
      <c r="N409" s="22">
        <v>274483.31</v>
      </c>
      <c r="O409" s="23">
        <v>0.30549999999999999</v>
      </c>
      <c r="P409" s="20" t="s">
        <v>80</v>
      </c>
    </row>
    <row r="410" spans="1:16" x14ac:dyDescent="0.3">
      <c r="A410" s="16" t="s">
        <v>546</v>
      </c>
      <c r="B410" s="17">
        <v>45372</v>
      </c>
      <c r="C410" s="16" t="s">
        <v>122</v>
      </c>
      <c r="D410" s="16" t="s">
        <v>53</v>
      </c>
      <c r="E410" s="16" t="s">
        <v>33</v>
      </c>
      <c r="F410" s="16" t="s">
        <v>83</v>
      </c>
      <c r="G410" s="16" t="s">
        <v>41</v>
      </c>
      <c r="H410" s="16" t="s">
        <v>163</v>
      </c>
      <c r="I410" s="16" t="s">
        <v>85</v>
      </c>
      <c r="J410" s="16">
        <v>11</v>
      </c>
      <c r="K410" s="18">
        <v>38320</v>
      </c>
      <c r="L410" s="18">
        <v>421520</v>
      </c>
      <c r="M410" s="18">
        <v>284909.93</v>
      </c>
      <c r="N410" s="18">
        <v>136610.07</v>
      </c>
      <c r="O410" s="19">
        <v>0.3241</v>
      </c>
      <c r="P410" s="16" t="s">
        <v>80</v>
      </c>
    </row>
    <row r="411" spans="1:16" x14ac:dyDescent="0.3">
      <c r="A411" s="20" t="s">
        <v>547</v>
      </c>
      <c r="B411" s="21">
        <v>45317</v>
      </c>
      <c r="C411" s="20" t="s">
        <v>116</v>
      </c>
      <c r="D411" s="20" t="s">
        <v>53</v>
      </c>
      <c r="E411" s="20" t="s">
        <v>33</v>
      </c>
      <c r="F411" s="20" t="s">
        <v>99</v>
      </c>
      <c r="G411" s="20" t="s">
        <v>42</v>
      </c>
      <c r="H411" s="20" t="s">
        <v>187</v>
      </c>
      <c r="I411" s="20" t="s">
        <v>88</v>
      </c>
      <c r="J411" s="20">
        <v>3</v>
      </c>
      <c r="K411" s="22">
        <v>12400</v>
      </c>
      <c r="L411" s="22">
        <v>37200</v>
      </c>
      <c r="M411" s="22">
        <v>26192.17</v>
      </c>
      <c r="N411" s="22">
        <v>11007.83</v>
      </c>
      <c r="O411" s="23">
        <v>0.2959</v>
      </c>
      <c r="P411" s="20" t="s">
        <v>80</v>
      </c>
    </row>
    <row r="412" spans="1:16" x14ac:dyDescent="0.3">
      <c r="A412" s="16" t="s">
        <v>548</v>
      </c>
      <c r="B412" s="17">
        <v>45521</v>
      </c>
      <c r="C412" s="16" t="s">
        <v>90</v>
      </c>
      <c r="D412" s="16" t="s">
        <v>56</v>
      </c>
      <c r="E412" s="16" t="s">
        <v>29</v>
      </c>
      <c r="F412" s="16" t="s">
        <v>135</v>
      </c>
      <c r="G412" s="16" t="s">
        <v>41</v>
      </c>
      <c r="H412" s="16" t="s">
        <v>163</v>
      </c>
      <c r="I412" s="16" t="s">
        <v>117</v>
      </c>
      <c r="J412" s="16">
        <v>1</v>
      </c>
      <c r="K412" s="18">
        <v>49090</v>
      </c>
      <c r="L412" s="18">
        <v>49090</v>
      </c>
      <c r="M412" s="18">
        <v>33859.120000000003</v>
      </c>
      <c r="N412" s="18">
        <v>15230.88</v>
      </c>
      <c r="O412" s="19">
        <v>0.31030000000000002</v>
      </c>
      <c r="P412" s="16" t="s">
        <v>80</v>
      </c>
    </row>
    <row r="413" spans="1:16" x14ac:dyDescent="0.3">
      <c r="A413" s="20" t="s">
        <v>549</v>
      </c>
      <c r="B413" s="21">
        <v>45577</v>
      </c>
      <c r="C413" s="20" t="s">
        <v>107</v>
      </c>
      <c r="D413" s="20" t="s">
        <v>57</v>
      </c>
      <c r="E413" s="20" t="s">
        <v>33</v>
      </c>
      <c r="F413" s="20" t="s">
        <v>99</v>
      </c>
      <c r="G413" s="20" t="s">
        <v>38</v>
      </c>
      <c r="H413" s="20" t="s">
        <v>223</v>
      </c>
      <c r="I413" s="20" t="s">
        <v>88</v>
      </c>
      <c r="J413" s="20">
        <v>15</v>
      </c>
      <c r="K413" s="22">
        <v>47170</v>
      </c>
      <c r="L413" s="22">
        <v>707550</v>
      </c>
      <c r="M413" s="22">
        <v>520024.12</v>
      </c>
      <c r="N413" s="22">
        <v>187525.88</v>
      </c>
      <c r="O413" s="23">
        <v>0.26500000000000001</v>
      </c>
      <c r="P413" s="20" t="s">
        <v>80</v>
      </c>
    </row>
    <row r="414" spans="1:16" x14ac:dyDescent="0.3">
      <c r="A414" s="16" t="s">
        <v>550</v>
      </c>
      <c r="B414" s="17">
        <v>45319</v>
      </c>
      <c r="C414" s="16" t="s">
        <v>116</v>
      </c>
      <c r="D414" s="16" t="s">
        <v>53</v>
      </c>
      <c r="E414" s="16" t="s">
        <v>30</v>
      </c>
      <c r="F414" s="16" t="s">
        <v>158</v>
      </c>
      <c r="G414" s="16" t="s">
        <v>40</v>
      </c>
      <c r="H414" s="16" t="s">
        <v>102</v>
      </c>
      <c r="I414" s="16" t="s">
        <v>131</v>
      </c>
      <c r="J414" s="16">
        <v>4</v>
      </c>
      <c r="K414" s="18">
        <v>1490</v>
      </c>
      <c r="L414" s="18">
        <v>5960</v>
      </c>
      <c r="M414" s="18">
        <v>5127.13</v>
      </c>
      <c r="N414" s="18">
        <v>832.87</v>
      </c>
      <c r="O414" s="19">
        <v>0.13969999999999999</v>
      </c>
      <c r="P414" s="16" t="s">
        <v>80</v>
      </c>
    </row>
    <row r="415" spans="1:16" x14ac:dyDescent="0.3">
      <c r="A415" s="20" t="s">
        <v>551</v>
      </c>
      <c r="B415" s="21">
        <v>45293</v>
      </c>
      <c r="C415" s="20" t="s">
        <v>116</v>
      </c>
      <c r="D415" s="20" t="s">
        <v>53</v>
      </c>
      <c r="E415" s="20" t="s">
        <v>31</v>
      </c>
      <c r="F415" s="20" t="s">
        <v>91</v>
      </c>
      <c r="G415" s="20" t="s">
        <v>40</v>
      </c>
      <c r="H415" s="20" t="s">
        <v>151</v>
      </c>
      <c r="I415" s="20" t="s">
        <v>112</v>
      </c>
      <c r="J415" s="20">
        <v>6</v>
      </c>
      <c r="K415" s="22">
        <v>280</v>
      </c>
      <c r="L415" s="22">
        <v>1680</v>
      </c>
      <c r="M415" s="22">
        <v>1378.87</v>
      </c>
      <c r="N415" s="22">
        <v>301.13</v>
      </c>
      <c r="O415" s="23">
        <v>0.1792</v>
      </c>
      <c r="P415" s="20" t="s">
        <v>80</v>
      </c>
    </row>
    <row r="416" spans="1:16" x14ac:dyDescent="0.3">
      <c r="A416" s="16" t="s">
        <v>552</v>
      </c>
      <c r="B416" s="17">
        <v>45501</v>
      </c>
      <c r="C416" s="16" t="s">
        <v>98</v>
      </c>
      <c r="D416" s="16" t="s">
        <v>56</v>
      </c>
      <c r="E416" s="16" t="s">
        <v>29</v>
      </c>
      <c r="F416" s="16" t="s">
        <v>135</v>
      </c>
      <c r="G416" s="16" t="s">
        <v>42</v>
      </c>
      <c r="H416" s="16" t="s">
        <v>148</v>
      </c>
      <c r="I416" s="16" t="s">
        <v>79</v>
      </c>
      <c r="J416" s="16">
        <v>13</v>
      </c>
      <c r="K416" s="18">
        <v>2510</v>
      </c>
      <c r="L416" s="18">
        <v>32630</v>
      </c>
      <c r="M416" s="18">
        <v>23769.03</v>
      </c>
      <c r="N416" s="18">
        <v>8860.9699999999993</v>
      </c>
      <c r="O416" s="19">
        <v>0.27160000000000001</v>
      </c>
      <c r="P416" s="16" t="s">
        <v>80</v>
      </c>
    </row>
    <row r="417" spans="1:16" x14ac:dyDescent="0.3">
      <c r="A417" s="20" t="s">
        <v>553</v>
      </c>
      <c r="B417" s="21">
        <v>45389</v>
      </c>
      <c r="C417" s="20" t="s">
        <v>142</v>
      </c>
      <c r="D417" s="20" t="s">
        <v>55</v>
      </c>
      <c r="E417" s="20" t="s">
        <v>31</v>
      </c>
      <c r="F417" s="20" t="s">
        <v>95</v>
      </c>
      <c r="G417" s="20" t="s">
        <v>41</v>
      </c>
      <c r="H417" s="20" t="s">
        <v>178</v>
      </c>
      <c r="I417" s="20" t="s">
        <v>93</v>
      </c>
      <c r="J417" s="20">
        <v>15</v>
      </c>
      <c r="K417" s="22">
        <v>8790</v>
      </c>
      <c r="L417" s="22">
        <v>131850</v>
      </c>
      <c r="M417" s="22">
        <v>86264.34</v>
      </c>
      <c r="N417" s="22">
        <v>45585.66</v>
      </c>
      <c r="O417" s="23">
        <v>0.34570000000000001</v>
      </c>
      <c r="P417" s="20" t="s">
        <v>80</v>
      </c>
    </row>
    <row r="418" spans="1:16" x14ac:dyDescent="0.3">
      <c r="A418" s="16" t="s">
        <v>554</v>
      </c>
      <c r="B418" s="17">
        <v>45550</v>
      </c>
      <c r="C418" s="16" t="s">
        <v>202</v>
      </c>
      <c r="D418" s="16" t="s">
        <v>56</v>
      </c>
      <c r="E418" s="16" t="s">
        <v>30</v>
      </c>
      <c r="F418" s="16" t="s">
        <v>158</v>
      </c>
      <c r="G418" s="16" t="s">
        <v>38</v>
      </c>
      <c r="H418" s="16" t="s">
        <v>223</v>
      </c>
      <c r="I418" s="16" t="s">
        <v>109</v>
      </c>
      <c r="J418" s="16">
        <v>19</v>
      </c>
      <c r="K418" s="18">
        <v>75150</v>
      </c>
      <c r="L418" s="18">
        <v>1427850</v>
      </c>
      <c r="M418" s="18">
        <v>1116160.06</v>
      </c>
      <c r="N418" s="18">
        <v>311689.94</v>
      </c>
      <c r="O418" s="19">
        <v>0.21829999999999999</v>
      </c>
      <c r="P418" s="16" t="s">
        <v>80</v>
      </c>
    </row>
    <row r="419" spans="1:16" x14ac:dyDescent="0.3">
      <c r="A419" s="20" t="s">
        <v>555</v>
      </c>
      <c r="B419" s="21">
        <v>45382</v>
      </c>
      <c r="C419" s="20" t="s">
        <v>122</v>
      </c>
      <c r="D419" s="20" t="s">
        <v>53</v>
      </c>
      <c r="E419" s="20" t="s">
        <v>33</v>
      </c>
      <c r="F419" s="20" t="s">
        <v>99</v>
      </c>
      <c r="G419" s="20" t="s">
        <v>39</v>
      </c>
      <c r="H419" s="20" t="s">
        <v>137</v>
      </c>
      <c r="I419" s="20" t="s">
        <v>85</v>
      </c>
      <c r="J419" s="20">
        <v>20</v>
      </c>
      <c r="K419" s="22">
        <v>3460</v>
      </c>
      <c r="L419" s="22">
        <v>69200</v>
      </c>
      <c r="M419" s="22">
        <v>35411.74</v>
      </c>
      <c r="N419" s="22">
        <v>33788.26</v>
      </c>
      <c r="O419" s="23">
        <v>0.48830000000000001</v>
      </c>
      <c r="P419" s="20" t="s">
        <v>80</v>
      </c>
    </row>
    <row r="420" spans="1:16" x14ac:dyDescent="0.3">
      <c r="A420" s="16" t="s">
        <v>556</v>
      </c>
      <c r="B420" s="17">
        <v>45488</v>
      </c>
      <c r="C420" s="16" t="s">
        <v>98</v>
      </c>
      <c r="D420" s="16" t="s">
        <v>56</v>
      </c>
      <c r="E420" s="16" t="s">
        <v>32</v>
      </c>
      <c r="F420" s="16" t="s">
        <v>139</v>
      </c>
      <c r="G420" s="16" t="s">
        <v>39</v>
      </c>
      <c r="H420" s="16" t="s">
        <v>137</v>
      </c>
      <c r="I420" s="16" t="s">
        <v>146</v>
      </c>
      <c r="J420" s="16">
        <v>10</v>
      </c>
      <c r="K420" s="18">
        <v>4840</v>
      </c>
      <c r="L420" s="18">
        <v>48400</v>
      </c>
      <c r="M420" s="18">
        <v>26848.23</v>
      </c>
      <c r="N420" s="18">
        <v>21551.77</v>
      </c>
      <c r="O420" s="19">
        <v>0.44529999999999997</v>
      </c>
      <c r="P420" s="16" t="s">
        <v>80</v>
      </c>
    </row>
    <row r="421" spans="1:16" x14ac:dyDescent="0.3">
      <c r="A421" s="20" t="s">
        <v>557</v>
      </c>
      <c r="B421" s="21">
        <v>45503</v>
      </c>
      <c r="C421" s="20" t="s">
        <v>98</v>
      </c>
      <c r="D421" s="20" t="s">
        <v>56</v>
      </c>
      <c r="E421" s="20" t="s">
        <v>33</v>
      </c>
      <c r="F421" s="20" t="s">
        <v>104</v>
      </c>
      <c r="G421" s="20" t="s">
        <v>42</v>
      </c>
      <c r="H421" s="20" t="s">
        <v>133</v>
      </c>
      <c r="I421" s="20" t="s">
        <v>88</v>
      </c>
      <c r="J421" s="20">
        <v>18</v>
      </c>
      <c r="K421" s="22">
        <v>13020</v>
      </c>
      <c r="L421" s="22">
        <v>234360</v>
      </c>
      <c r="M421" s="22">
        <v>160944.78</v>
      </c>
      <c r="N421" s="22">
        <v>73415.22</v>
      </c>
      <c r="O421" s="23">
        <v>0.31330000000000002</v>
      </c>
      <c r="P421" s="20" t="s">
        <v>80</v>
      </c>
    </row>
    <row r="422" spans="1:16" x14ac:dyDescent="0.3">
      <c r="A422" s="16" t="s">
        <v>558</v>
      </c>
      <c r="B422" s="17">
        <v>45611</v>
      </c>
      <c r="C422" s="16" t="s">
        <v>76</v>
      </c>
      <c r="D422" s="16" t="s">
        <v>57</v>
      </c>
      <c r="E422" s="16" t="s">
        <v>31</v>
      </c>
      <c r="F422" s="16" t="s">
        <v>208</v>
      </c>
      <c r="G422" s="16" t="s">
        <v>40</v>
      </c>
      <c r="H422" s="16" t="s">
        <v>78</v>
      </c>
      <c r="I422" s="16" t="s">
        <v>93</v>
      </c>
      <c r="J422" s="16">
        <v>11</v>
      </c>
      <c r="K422" s="18">
        <v>1110</v>
      </c>
      <c r="L422" s="18">
        <v>12210</v>
      </c>
      <c r="M422" s="18">
        <v>9755.36</v>
      </c>
      <c r="N422" s="18">
        <v>2454.64</v>
      </c>
      <c r="O422" s="19">
        <v>0.20100000000000001</v>
      </c>
      <c r="P422" s="16" t="s">
        <v>80</v>
      </c>
    </row>
    <row r="423" spans="1:16" x14ac:dyDescent="0.3">
      <c r="A423" s="20" t="s">
        <v>559</v>
      </c>
      <c r="B423" s="21">
        <v>45579</v>
      </c>
      <c r="C423" s="20" t="s">
        <v>107</v>
      </c>
      <c r="D423" s="20" t="s">
        <v>57</v>
      </c>
      <c r="E423" s="20" t="s">
        <v>32</v>
      </c>
      <c r="F423" s="20" t="s">
        <v>139</v>
      </c>
      <c r="G423" s="20" t="s">
        <v>42</v>
      </c>
      <c r="H423" s="20" t="s">
        <v>133</v>
      </c>
      <c r="I423" s="20" t="s">
        <v>146</v>
      </c>
      <c r="J423" s="20">
        <v>14</v>
      </c>
      <c r="K423" s="22">
        <v>4860</v>
      </c>
      <c r="L423" s="22">
        <v>68040</v>
      </c>
      <c r="M423" s="22">
        <v>45530.29</v>
      </c>
      <c r="N423" s="22">
        <v>22509.71</v>
      </c>
      <c r="O423" s="23">
        <v>0.33079999999999998</v>
      </c>
      <c r="P423" s="20" t="s">
        <v>80</v>
      </c>
    </row>
    <row r="424" spans="1:16" x14ac:dyDescent="0.3">
      <c r="A424" s="16" t="s">
        <v>560</v>
      </c>
      <c r="B424" s="17">
        <v>45304</v>
      </c>
      <c r="C424" s="16" t="s">
        <v>116</v>
      </c>
      <c r="D424" s="16" t="s">
        <v>53</v>
      </c>
      <c r="E424" s="16" t="s">
        <v>32</v>
      </c>
      <c r="F424" s="16" t="s">
        <v>145</v>
      </c>
      <c r="G424" s="16" t="s">
        <v>38</v>
      </c>
      <c r="H424" s="16" t="s">
        <v>100</v>
      </c>
      <c r="I424" s="16" t="s">
        <v>140</v>
      </c>
      <c r="J424" s="16">
        <v>6</v>
      </c>
      <c r="K424" s="18">
        <v>25020</v>
      </c>
      <c r="L424" s="18">
        <v>150120</v>
      </c>
      <c r="M424" s="18">
        <v>109834.81</v>
      </c>
      <c r="N424" s="18">
        <v>40285.19</v>
      </c>
      <c r="O424" s="19">
        <v>0.26840000000000003</v>
      </c>
      <c r="P424" s="16" t="s">
        <v>80</v>
      </c>
    </row>
    <row r="425" spans="1:16" x14ac:dyDescent="0.3">
      <c r="A425" s="20" t="s">
        <v>561</v>
      </c>
      <c r="B425" s="21">
        <v>45366</v>
      </c>
      <c r="C425" s="20" t="s">
        <v>122</v>
      </c>
      <c r="D425" s="20" t="s">
        <v>53</v>
      </c>
      <c r="E425" s="20" t="s">
        <v>29</v>
      </c>
      <c r="F425" s="20" t="s">
        <v>150</v>
      </c>
      <c r="G425" s="20" t="s">
        <v>40</v>
      </c>
      <c r="H425" s="20" t="s">
        <v>180</v>
      </c>
      <c r="I425" s="20" t="s">
        <v>79</v>
      </c>
      <c r="J425" s="20">
        <v>15</v>
      </c>
      <c r="K425" s="22">
        <v>260</v>
      </c>
      <c r="L425" s="22">
        <v>3900</v>
      </c>
      <c r="M425" s="22">
        <v>3353.03</v>
      </c>
      <c r="N425" s="22">
        <v>546.97</v>
      </c>
      <c r="O425" s="23">
        <v>0.14019999999999999</v>
      </c>
      <c r="P425" s="20" t="s">
        <v>80</v>
      </c>
    </row>
    <row r="426" spans="1:16" x14ac:dyDescent="0.3">
      <c r="A426" s="16" t="s">
        <v>562</v>
      </c>
      <c r="B426" s="17">
        <v>45579</v>
      </c>
      <c r="C426" s="16" t="s">
        <v>107</v>
      </c>
      <c r="D426" s="16" t="s">
        <v>57</v>
      </c>
      <c r="E426" s="16" t="s">
        <v>30</v>
      </c>
      <c r="F426" s="16" t="s">
        <v>108</v>
      </c>
      <c r="G426" s="16" t="s">
        <v>42</v>
      </c>
      <c r="H426" s="16" t="s">
        <v>148</v>
      </c>
      <c r="I426" s="16" t="s">
        <v>131</v>
      </c>
      <c r="J426" s="16">
        <v>10</v>
      </c>
      <c r="K426" s="18">
        <v>8060</v>
      </c>
      <c r="L426" s="18">
        <v>80600</v>
      </c>
      <c r="M426" s="18">
        <v>54864.94</v>
      </c>
      <c r="N426" s="18">
        <v>25735.06</v>
      </c>
      <c r="O426" s="19">
        <v>0.31929999999999997</v>
      </c>
      <c r="P426" s="16" t="s">
        <v>110</v>
      </c>
    </row>
    <row r="427" spans="1:16" x14ac:dyDescent="0.3">
      <c r="A427" s="20" t="s">
        <v>563</v>
      </c>
      <c r="B427" s="21">
        <v>45487</v>
      </c>
      <c r="C427" s="20" t="s">
        <v>98</v>
      </c>
      <c r="D427" s="20" t="s">
        <v>56</v>
      </c>
      <c r="E427" s="20" t="s">
        <v>32</v>
      </c>
      <c r="F427" s="20" t="s">
        <v>177</v>
      </c>
      <c r="G427" s="20" t="s">
        <v>40</v>
      </c>
      <c r="H427" s="20" t="s">
        <v>151</v>
      </c>
      <c r="I427" s="20" t="s">
        <v>140</v>
      </c>
      <c r="J427" s="20">
        <v>7</v>
      </c>
      <c r="K427" s="22">
        <v>1540</v>
      </c>
      <c r="L427" s="22">
        <v>10780</v>
      </c>
      <c r="M427" s="22">
        <v>8709.6299999999992</v>
      </c>
      <c r="N427" s="22">
        <v>2070.37</v>
      </c>
      <c r="O427" s="23">
        <v>0.19209999999999999</v>
      </c>
      <c r="P427" s="20" t="s">
        <v>80</v>
      </c>
    </row>
    <row r="428" spans="1:16" x14ac:dyDescent="0.3">
      <c r="A428" s="16" t="s">
        <v>564</v>
      </c>
      <c r="B428" s="17">
        <v>45518</v>
      </c>
      <c r="C428" s="16" t="s">
        <v>90</v>
      </c>
      <c r="D428" s="16" t="s">
        <v>56</v>
      </c>
      <c r="E428" s="16" t="s">
        <v>30</v>
      </c>
      <c r="F428" s="16" t="s">
        <v>108</v>
      </c>
      <c r="G428" s="16" t="s">
        <v>40</v>
      </c>
      <c r="H428" s="16" t="s">
        <v>78</v>
      </c>
      <c r="I428" s="16" t="s">
        <v>109</v>
      </c>
      <c r="J428" s="16">
        <v>6</v>
      </c>
      <c r="K428" s="18">
        <v>730</v>
      </c>
      <c r="L428" s="18">
        <v>4380</v>
      </c>
      <c r="M428" s="18">
        <v>3379.85</v>
      </c>
      <c r="N428" s="18">
        <v>1000.15</v>
      </c>
      <c r="O428" s="19">
        <v>0.2283</v>
      </c>
      <c r="P428" s="16" t="s">
        <v>80</v>
      </c>
    </row>
    <row r="429" spans="1:16" x14ac:dyDescent="0.3">
      <c r="A429" s="20" t="s">
        <v>565</v>
      </c>
      <c r="B429" s="21">
        <v>45380</v>
      </c>
      <c r="C429" s="20" t="s">
        <v>122</v>
      </c>
      <c r="D429" s="20" t="s">
        <v>53</v>
      </c>
      <c r="E429" s="20" t="s">
        <v>33</v>
      </c>
      <c r="F429" s="20" t="s">
        <v>99</v>
      </c>
      <c r="G429" s="20" t="s">
        <v>41</v>
      </c>
      <c r="H429" s="20" t="s">
        <v>96</v>
      </c>
      <c r="I429" s="20" t="s">
        <v>85</v>
      </c>
      <c r="J429" s="20">
        <v>9</v>
      </c>
      <c r="K429" s="22">
        <v>16120</v>
      </c>
      <c r="L429" s="22">
        <v>145080</v>
      </c>
      <c r="M429" s="22">
        <v>99668.99</v>
      </c>
      <c r="N429" s="22">
        <v>45411.01</v>
      </c>
      <c r="O429" s="23">
        <v>0.313</v>
      </c>
      <c r="P429" s="20" t="s">
        <v>80</v>
      </c>
    </row>
    <row r="430" spans="1:16" x14ac:dyDescent="0.3">
      <c r="A430" s="16" t="s">
        <v>566</v>
      </c>
      <c r="B430" s="17">
        <v>45422</v>
      </c>
      <c r="C430" s="16" t="s">
        <v>13</v>
      </c>
      <c r="D430" s="16" t="s">
        <v>55</v>
      </c>
      <c r="E430" s="16" t="s">
        <v>29</v>
      </c>
      <c r="F430" s="16" t="s">
        <v>135</v>
      </c>
      <c r="G430" s="16" t="s">
        <v>41</v>
      </c>
      <c r="H430" s="16" t="s">
        <v>163</v>
      </c>
      <c r="I430" s="16" t="s">
        <v>79</v>
      </c>
      <c r="J430" s="16">
        <v>11</v>
      </c>
      <c r="K430" s="18">
        <v>10220</v>
      </c>
      <c r="L430" s="18">
        <v>112420</v>
      </c>
      <c r="M430" s="18">
        <v>71983.87</v>
      </c>
      <c r="N430" s="18">
        <v>40436.129999999997</v>
      </c>
      <c r="O430" s="19">
        <v>0.35970000000000002</v>
      </c>
      <c r="P430" s="16" t="s">
        <v>80</v>
      </c>
    </row>
    <row r="431" spans="1:16" x14ac:dyDescent="0.3">
      <c r="A431" s="20" t="s">
        <v>567</v>
      </c>
      <c r="B431" s="21">
        <v>45612</v>
      </c>
      <c r="C431" s="20" t="s">
        <v>76</v>
      </c>
      <c r="D431" s="20" t="s">
        <v>57</v>
      </c>
      <c r="E431" s="20" t="s">
        <v>33</v>
      </c>
      <c r="F431" s="20" t="s">
        <v>104</v>
      </c>
      <c r="G431" s="20" t="s">
        <v>40</v>
      </c>
      <c r="H431" s="20" t="s">
        <v>180</v>
      </c>
      <c r="I431" s="20" t="s">
        <v>88</v>
      </c>
      <c r="J431" s="20">
        <v>3</v>
      </c>
      <c r="K431" s="22">
        <v>1190</v>
      </c>
      <c r="L431" s="22">
        <v>3570</v>
      </c>
      <c r="M431" s="22">
        <v>2826</v>
      </c>
      <c r="N431" s="22">
        <v>744</v>
      </c>
      <c r="O431" s="23">
        <v>0.2084</v>
      </c>
      <c r="P431" s="20" t="s">
        <v>80</v>
      </c>
    </row>
    <row r="432" spans="1:16" x14ac:dyDescent="0.3">
      <c r="A432" s="16" t="s">
        <v>568</v>
      </c>
      <c r="B432" s="17">
        <v>45404</v>
      </c>
      <c r="C432" s="16" t="s">
        <v>142</v>
      </c>
      <c r="D432" s="16" t="s">
        <v>55</v>
      </c>
      <c r="E432" s="16" t="s">
        <v>30</v>
      </c>
      <c r="F432" s="16" t="s">
        <v>108</v>
      </c>
      <c r="G432" s="16" t="s">
        <v>38</v>
      </c>
      <c r="H432" s="16" t="s">
        <v>123</v>
      </c>
      <c r="I432" s="16" t="s">
        <v>109</v>
      </c>
      <c r="J432" s="16">
        <v>13</v>
      </c>
      <c r="K432" s="18">
        <v>45730</v>
      </c>
      <c r="L432" s="18">
        <v>594490</v>
      </c>
      <c r="M432" s="18">
        <v>487960.63</v>
      </c>
      <c r="N432" s="18">
        <v>106529.37</v>
      </c>
      <c r="O432" s="19">
        <v>0.1792</v>
      </c>
      <c r="P432" s="16" t="s">
        <v>80</v>
      </c>
    </row>
    <row r="433" spans="1:16" x14ac:dyDescent="0.3">
      <c r="A433" s="20" t="s">
        <v>569</v>
      </c>
      <c r="B433" s="21">
        <v>45401</v>
      </c>
      <c r="C433" s="20" t="s">
        <v>142</v>
      </c>
      <c r="D433" s="20" t="s">
        <v>55</v>
      </c>
      <c r="E433" s="20" t="s">
        <v>31</v>
      </c>
      <c r="F433" s="20" t="s">
        <v>91</v>
      </c>
      <c r="G433" s="20" t="s">
        <v>40</v>
      </c>
      <c r="H433" s="20" t="s">
        <v>78</v>
      </c>
      <c r="I433" s="20" t="s">
        <v>112</v>
      </c>
      <c r="J433" s="20">
        <v>20</v>
      </c>
      <c r="K433" s="22">
        <v>1910</v>
      </c>
      <c r="L433" s="22">
        <v>38200</v>
      </c>
      <c r="M433" s="22">
        <v>31207.49</v>
      </c>
      <c r="N433" s="22">
        <v>6992.51</v>
      </c>
      <c r="O433" s="23">
        <v>0.18310000000000001</v>
      </c>
      <c r="P433" s="20" t="s">
        <v>80</v>
      </c>
    </row>
    <row r="434" spans="1:16" x14ac:dyDescent="0.3">
      <c r="A434" s="16" t="s">
        <v>570</v>
      </c>
      <c r="B434" s="17">
        <v>45624</v>
      </c>
      <c r="C434" s="16" t="s">
        <v>76</v>
      </c>
      <c r="D434" s="16" t="s">
        <v>57</v>
      </c>
      <c r="E434" s="16" t="s">
        <v>29</v>
      </c>
      <c r="F434" s="16" t="s">
        <v>77</v>
      </c>
      <c r="G434" s="16" t="s">
        <v>40</v>
      </c>
      <c r="H434" s="16" t="s">
        <v>78</v>
      </c>
      <c r="I434" s="16" t="s">
        <v>117</v>
      </c>
      <c r="J434" s="16">
        <v>20</v>
      </c>
      <c r="K434" s="18">
        <v>1830</v>
      </c>
      <c r="L434" s="18">
        <v>36600</v>
      </c>
      <c r="M434" s="18">
        <v>28479.9</v>
      </c>
      <c r="N434" s="18">
        <v>8120.1</v>
      </c>
      <c r="O434" s="19">
        <v>0.22189999999999999</v>
      </c>
      <c r="P434" s="16" t="s">
        <v>80</v>
      </c>
    </row>
    <row r="435" spans="1:16" x14ac:dyDescent="0.3">
      <c r="A435" s="20" t="s">
        <v>571</v>
      </c>
      <c r="B435" s="21">
        <v>45312</v>
      </c>
      <c r="C435" s="20" t="s">
        <v>116</v>
      </c>
      <c r="D435" s="20" t="s">
        <v>53</v>
      </c>
      <c r="E435" s="20" t="s">
        <v>31</v>
      </c>
      <c r="F435" s="20" t="s">
        <v>91</v>
      </c>
      <c r="G435" s="20" t="s">
        <v>38</v>
      </c>
      <c r="H435" s="20" t="s">
        <v>119</v>
      </c>
      <c r="I435" s="20" t="s">
        <v>112</v>
      </c>
      <c r="J435" s="20">
        <v>10</v>
      </c>
      <c r="K435" s="22">
        <v>45520</v>
      </c>
      <c r="L435" s="22">
        <v>455200</v>
      </c>
      <c r="M435" s="22">
        <v>376691.4</v>
      </c>
      <c r="N435" s="22">
        <v>78508.600000000006</v>
      </c>
      <c r="O435" s="23">
        <v>0.17249999999999999</v>
      </c>
      <c r="P435" s="20" t="s">
        <v>80</v>
      </c>
    </row>
    <row r="436" spans="1:16" x14ac:dyDescent="0.3">
      <c r="A436" s="16" t="s">
        <v>572</v>
      </c>
      <c r="B436" s="17">
        <v>45483</v>
      </c>
      <c r="C436" s="16" t="s">
        <v>98</v>
      </c>
      <c r="D436" s="16" t="s">
        <v>56</v>
      </c>
      <c r="E436" s="16" t="s">
        <v>33</v>
      </c>
      <c r="F436" s="16" t="s">
        <v>104</v>
      </c>
      <c r="G436" s="16" t="s">
        <v>41</v>
      </c>
      <c r="H436" s="16" t="s">
        <v>163</v>
      </c>
      <c r="I436" s="16" t="s">
        <v>88</v>
      </c>
      <c r="J436" s="16">
        <v>7</v>
      </c>
      <c r="K436" s="18">
        <v>16930</v>
      </c>
      <c r="L436" s="18">
        <v>118510</v>
      </c>
      <c r="M436" s="18">
        <v>79160.97</v>
      </c>
      <c r="N436" s="18">
        <v>39349.03</v>
      </c>
      <c r="O436" s="19">
        <v>0.33200000000000002</v>
      </c>
      <c r="P436" s="16" t="s">
        <v>80</v>
      </c>
    </row>
    <row r="437" spans="1:16" x14ac:dyDescent="0.3">
      <c r="A437" s="20" t="s">
        <v>573</v>
      </c>
      <c r="B437" s="21">
        <v>45341</v>
      </c>
      <c r="C437" s="20" t="s">
        <v>82</v>
      </c>
      <c r="D437" s="20" t="s">
        <v>53</v>
      </c>
      <c r="E437" s="20" t="s">
        <v>30</v>
      </c>
      <c r="F437" s="20" t="s">
        <v>108</v>
      </c>
      <c r="G437" s="20" t="s">
        <v>42</v>
      </c>
      <c r="H437" s="20" t="s">
        <v>156</v>
      </c>
      <c r="I437" s="20" t="s">
        <v>109</v>
      </c>
      <c r="J437" s="20">
        <v>7</v>
      </c>
      <c r="K437" s="22">
        <v>3790</v>
      </c>
      <c r="L437" s="22">
        <v>26530</v>
      </c>
      <c r="M437" s="22">
        <v>17602.79</v>
      </c>
      <c r="N437" s="22">
        <v>8927.2099999999991</v>
      </c>
      <c r="O437" s="23">
        <v>0.33650000000000002</v>
      </c>
      <c r="P437" s="20" t="s">
        <v>80</v>
      </c>
    </row>
    <row r="438" spans="1:16" x14ac:dyDescent="0.3">
      <c r="A438" s="16" t="s">
        <v>574</v>
      </c>
      <c r="B438" s="17">
        <v>45345</v>
      </c>
      <c r="C438" s="16" t="s">
        <v>82</v>
      </c>
      <c r="D438" s="16" t="s">
        <v>53</v>
      </c>
      <c r="E438" s="16" t="s">
        <v>30</v>
      </c>
      <c r="F438" s="16" t="s">
        <v>108</v>
      </c>
      <c r="G438" s="16" t="s">
        <v>41</v>
      </c>
      <c r="H438" s="16" t="s">
        <v>169</v>
      </c>
      <c r="I438" s="16" t="s">
        <v>109</v>
      </c>
      <c r="J438" s="16">
        <v>11</v>
      </c>
      <c r="K438" s="18">
        <v>4120</v>
      </c>
      <c r="L438" s="18">
        <v>45320</v>
      </c>
      <c r="M438" s="18">
        <v>31552.3</v>
      </c>
      <c r="N438" s="18">
        <v>13767.7</v>
      </c>
      <c r="O438" s="19">
        <v>0.30380000000000001</v>
      </c>
      <c r="P438" s="16" t="s">
        <v>80</v>
      </c>
    </row>
    <row r="439" spans="1:16" x14ac:dyDescent="0.3">
      <c r="A439" s="20" t="s">
        <v>575</v>
      </c>
      <c r="B439" s="21">
        <v>45383</v>
      </c>
      <c r="C439" s="20" t="s">
        <v>142</v>
      </c>
      <c r="D439" s="20" t="s">
        <v>55</v>
      </c>
      <c r="E439" s="20" t="s">
        <v>31</v>
      </c>
      <c r="F439" s="20" t="s">
        <v>208</v>
      </c>
      <c r="G439" s="20" t="s">
        <v>38</v>
      </c>
      <c r="H439" s="20" t="s">
        <v>119</v>
      </c>
      <c r="I439" s="20" t="s">
        <v>93</v>
      </c>
      <c r="J439" s="20">
        <v>15</v>
      </c>
      <c r="K439" s="22">
        <v>35570</v>
      </c>
      <c r="L439" s="22">
        <v>533550</v>
      </c>
      <c r="M439" s="22">
        <v>409221.26</v>
      </c>
      <c r="N439" s="22">
        <v>124328.74</v>
      </c>
      <c r="O439" s="23">
        <v>0.23300000000000001</v>
      </c>
      <c r="P439" s="20" t="s">
        <v>80</v>
      </c>
    </row>
    <row r="440" spans="1:16" x14ac:dyDescent="0.3">
      <c r="A440" s="16" t="s">
        <v>576</v>
      </c>
      <c r="B440" s="17">
        <v>45300</v>
      </c>
      <c r="C440" s="16" t="s">
        <v>116</v>
      </c>
      <c r="D440" s="16" t="s">
        <v>53</v>
      </c>
      <c r="E440" s="16" t="s">
        <v>32</v>
      </c>
      <c r="F440" s="16" t="s">
        <v>139</v>
      </c>
      <c r="G440" s="16" t="s">
        <v>38</v>
      </c>
      <c r="H440" s="16" t="s">
        <v>223</v>
      </c>
      <c r="I440" s="16" t="s">
        <v>140</v>
      </c>
      <c r="J440" s="16">
        <v>19</v>
      </c>
      <c r="K440" s="18">
        <v>9740</v>
      </c>
      <c r="L440" s="18">
        <v>185060</v>
      </c>
      <c r="M440" s="18">
        <v>152757.47</v>
      </c>
      <c r="N440" s="18">
        <v>32302.53</v>
      </c>
      <c r="O440" s="19">
        <v>0.17460000000000001</v>
      </c>
      <c r="P440" s="16" t="s">
        <v>80</v>
      </c>
    </row>
    <row r="441" spans="1:16" x14ac:dyDescent="0.3">
      <c r="A441" s="20" t="s">
        <v>577</v>
      </c>
      <c r="B441" s="21">
        <v>45475</v>
      </c>
      <c r="C441" s="20" t="s">
        <v>98</v>
      </c>
      <c r="D441" s="20" t="s">
        <v>56</v>
      </c>
      <c r="E441" s="20" t="s">
        <v>33</v>
      </c>
      <c r="F441" s="20" t="s">
        <v>99</v>
      </c>
      <c r="G441" s="20" t="s">
        <v>40</v>
      </c>
      <c r="H441" s="20" t="s">
        <v>180</v>
      </c>
      <c r="I441" s="20" t="s">
        <v>88</v>
      </c>
      <c r="J441" s="20">
        <v>15</v>
      </c>
      <c r="K441" s="22">
        <v>360</v>
      </c>
      <c r="L441" s="22">
        <v>5400</v>
      </c>
      <c r="M441" s="22">
        <v>4492.04</v>
      </c>
      <c r="N441" s="22">
        <v>907.96</v>
      </c>
      <c r="O441" s="23">
        <v>0.1681</v>
      </c>
      <c r="P441" s="20" t="s">
        <v>80</v>
      </c>
    </row>
    <row r="442" spans="1:16" x14ac:dyDescent="0.3">
      <c r="A442" s="16" t="s">
        <v>578</v>
      </c>
      <c r="B442" s="17">
        <v>45307</v>
      </c>
      <c r="C442" s="16" t="s">
        <v>116</v>
      </c>
      <c r="D442" s="16" t="s">
        <v>53</v>
      </c>
      <c r="E442" s="16" t="s">
        <v>32</v>
      </c>
      <c r="F442" s="16" t="s">
        <v>145</v>
      </c>
      <c r="G442" s="16" t="s">
        <v>42</v>
      </c>
      <c r="H442" s="16" t="s">
        <v>148</v>
      </c>
      <c r="I442" s="16" t="s">
        <v>140</v>
      </c>
      <c r="J442" s="16">
        <v>18</v>
      </c>
      <c r="K442" s="18">
        <v>11400</v>
      </c>
      <c r="L442" s="18">
        <v>205200</v>
      </c>
      <c r="M442" s="18">
        <v>147847.04000000001</v>
      </c>
      <c r="N442" s="18">
        <v>57352.959999999999</v>
      </c>
      <c r="O442" s="19">
        <v>0.27950000000000003</v>
      </c>
      <c r="P442" s="16" t="s">
        <v>80</v>
      </c>
    </row>
    <row r="443" spans="1:16" x14ac:dyDescent="0.3">
      <c r="A443" s="20" t="s">
        <v>579</v>
      </c>
      <c r="B443" s="21">
        <v>45444</v>
      </c>
      <c r="C443" s="20" t="s">
        <v>125</v>
      </c>
      <c r="D443" s="20" t="s">
        <v>55</v>
      </c>
      <c r="E443" s="20" t="s">
        <v>31</v>
      </c>
      <c r="F443" s="20" t="s">
        <v>95</v>
      </c>
      <c r="G443" s="20" t="s">
        <v>42</v>
      </c>
      <c r="H443" s="20" t="s">
        <v>156</v>
      </c>
      <c r="I443" s="20" t="s">
        <v>93</v>
      </c>
      <c r="J443" s="20">
        <v>19</v>
      </c>
      <c r="K443" s="22">
        <v>1390</v>
      </c>
      <c r="L443" s="22">
        <v>26410</v>
      </c>
      <c r="M443" s="22">
        <v>18231.73</v>
      </c>
      <c r="N443" s="22">
        <v>8178.27</v>
      </c>
      <c r="O443" s="23">
        <v>0.30969999999999998</v>
      </c>
      <c r="P443" s="20" t="s">
        <v>80</v>
      </c>
    </row>
    <row r="444" spans="1:16" x14ac:dyDescent="0.3">
      <c r="A444" s="16" t="s">
        <v>580</v>
      </c>
      <c r="B444" s="17">
        <v>45335</v>
      </c>
      <c r="C444" s="16" t="s">
        <v>82</v>
      </c>
      <c r="D444" s="16" t="s">
        <v>53</v>
      </c>
      <c r="E444" s="16" t="s">
        <v>31</v>
      </c>
      <c r="F444" s="16" t="s">
        <v>95</v>
      </c>
      <c r="G444" s="16" t="s">
        <v>40</v>
      </c>
      <c r="H444" s="16" t="s">
        <v>159</v>
      </c>
      <c r="I444" s="16" t="s">
        <v>93</v>
      </c>
      <c r="J444" s="16">
        <v>17</v>
      </c>
      <c r="K444" s="18">
        <v>1830</v>
      </c>
      <c r="L444" s="18">
        <v>31110</v>
      </c>
      <c r="M444" s="18">
        <v>26622.52</v>
      </c>
      <c r="N444" s="18">
        <v>4487.4799999999996</v>
      </c>
      <c r="O444" s="19">
        <v>0.14419999999999999</v>
      </c>
      <c r="P444" s="16" t="s">
        <v>80</v>
      </c>
    </row>
    <row r="445" spans="1:16" x14ac:dyDescent="0.3">
      <c r="A445" s="20" t="s">
        <v>581</v>
      </c>
      <c r="B445" s="21">
        <v>45607</v>
      </c>
      <c r="C445" s="20" t="s">
        <v>76</v>
      </c>
      <c r="D445" s="20" t="s">
        <v>57</v>
      </c>
      <c r="E445" s="20" t="s">
        <v>31</v>
      </c>
      <c r="F445" s="20" t="s">
        <v>95</v>
      </c>
      <c r="G445" s="20" t="s">
        <v>38</v>
      </c>
      <c r="H445" s="20" t="s">
        <v>223</v>
      </c>
      <c r="I445" s="20" t="s">
        <v>93</v>
      </c>
      <c r="J445" s="20">
        <v>18</v>
      </c>
      <c r="K445" s="22">
        <v>68920</v>
      </c>
      <c r="L445" s="22">
        <v>1240560</v>
      </c>
      <c r="M445" s="22">
        <v>972442.08</v>
      </c>
      <c r="N445" s="22">
        <v>268117.92</v>
      </c>
      <c r="O445" s="23">
        <v>0.21609999999999999</v>
      </c>
      <c r="P445" s="20" t="s">
        <v>80</v>
      </c>
    </row>
    <row r="446" spans="1:16" x14ac:dyDescent="0.3">
      <c r="A446" s="16" t="s">
        <v>582</v>
      </c>
      <c r="B446" s="17">
        <v>45440</v>
      </c>
      <c r="C446" s="16" t="s">
        <v>13</v>
      </c>
      <c r="D446" s="16" t="s">
        <v>55</v>
      </c>
      <c r="E446" s="16" t="s">
        <v>29</v>
      </c>
      <c r="F446" s="16" t="s">
        <v>135</v>
      </c>
      <c r="G446" s="16" t="s">
        <v>38</v>
      </c>
      <c r="H446" s="16" t="s">
        <v>223</v>
      </c>
      <c r="I446" s="16" t="s">
        <v>79</v>
      </c>
      <c r="J446" s="16">
        <v>11</v>
      </c>
      <c r="K446" s="18">
        <v>41540</v>
      </c>
      <c r="L446" s="18">
        <v>456940</v>
      </c>
      <c r="M446" s="18">
        <v>362941.12</v>
      </c>
      <c r="N446" s="18">
        <v>93998.88</v>
      </c>
      <c r="O446" s="19">
        <v>0.20569999999999999</v>
      </c>
      <c r="P446" s="16" t="s">
        <v>80</v>
      </c>
    </row>
    <row r="447" spans="1:16" x14ac:dyDescent="0.3">
      <c r="A447" s="20" t="s">
        <v>583</v>
      </c>
      <c r="B447" s="21">
        <v>45412</v>
      </c>
      <c r="C447" s="20" t="s">
        <v>142</v>
      </c>
      <c r="D447" s="20" t="s">
        <v>55</v>
      </c>
      <c r="E447" s="20" t="s">
        <v>29</v>
      </c>
      <c r="F447" s="20" t="s">
        <v>135</v>
      </c>
      <c r="G447" s="20" t="s">
        <v>42</v>
      </c>
      <c r="H447" s="20" t="s">
        <v>148</v>
      </c>
      <c r="I447" s="20" t="s">
        <v>79</v>
      </c>
      <c r="J447" s="20">
        <v>15</v>
      </c>
      <c r="K447" s="22">
        <v>5310</v>
      </c>
      <c r="L447" s="22">
        <v>79650</v>
      </c>
      <c r="M447" s="22">
        <v>57122.22</v>
      </c>
      <c r="N447" s="22">
        <v>22527.78</v>
      </c>
      <c r="O447" s="23">
        <v>0.2828</v>
      </c>
      <c r="P447" s="20" t="s">
        <v>80</v>
      </c>
    </row>
    <row r="448" spans="1:16" x14ac:dyDescent="0.3">
      <c r="A448" s="16" t="s">
        <v>584</v>
      </c>
      <c r="B448" s="17">
        <v>45647</v>
      </c>
      <c r="C448" s="16" t="s">
        <v>175</v>
      </c>
      <c r="D448" s="16" t="s">
        <v>57</v>
      </c>
      <c r="E448" s="16" t="s">
        <v>33</v>
      </c>
      <c r="F448" s="16" t="s">
        <v>99</v>
      </c>
      <c r="G448" s="16" t="s">
        <v>42</v>
      </c>
      <c r="H448" s="16" t="s">
        <v>114</v>
      </c>
      <c r="I448" s="16" t="s">
        <v>88</v>
      </c>
      <c r="J448" s="16">
        <v>6</v>
      </c>
      <c r="K448" s="18">
        <v>14410</v>
      </c>
      <c r="L448" s="18">
        <v>86460</v>
      </c>
      <c r="M448" s="18">
        <v>64803.22</v>
      </c>
      <c r="N448" s="18">
        <v>21656.78</v>
      </c>
      <c r="O448" s="19">
        <v>0.2505</v>
      </c>
      <c r="P448" s="16" t="s">
        <v>80</v>
      </c>
    </row>
    <row r="449" spans="1:16" x14ac:dyDescent="0.3">
      <c r="A449" s="20" t="s">
        <v>585</v>
      </c>
      <c r="B449" s="21">
        <v>45405</v>
      </c>
      <c r="C449" s="20" t="s">
        <v>142</v>
      </c>
      <c r="D449" s="20" t="s">
        <v>55</v>
      </c>
      <c r="E449" s="20" t="s">
        <v>32</v>
      </c>
      <c r="F449" s="20" t="s">
        <v>177</v>
      </c>
      <c r="G449" s="20" t="s">
        <v>40</v>
      </c>
      <c r="H449" s="20" t="s">
        <v>102</v>
      </c>
      <c r="I449" s="20" t="s">
        <v>140</v>
      </c>
      <c r="J449" s="20">
        <v>15</v>
      </c>
      <c r="K449" s="22">
        <v>1780</v>
      </c>
      <c r="L449" s="22">
        <v>26700</v>
      </c>
      <c r="M449" s="22">
        <v>22039.89</v>
      </c>
      <c r="N449" s="22">
        <v>4660.1099999999997</v>
      </c>
      <c r="O449" s="23">
        <v>0.17449999999999999</v>
      </c>
      <c r="P449" s="20" t="s">
        <v>80</v>
      </c>
    </row>
    <row r="450" spans="1:16" x14ac:dyDescent="0.3">
      <c r="A450" s="16" t="s">
        <v>586</v>
      </c>
      <c r="B450" s="17">
        <v>45541</v>
      </c>
      <c r="C450" s="16" t="s">
        <v>202</v>
      </c>
      <c r="D450" s="16" t="s">
        <v>56</v>
      </c>
      <c r="E450" s="16" t="s">
        <v>33</v>
      </c>
      <c r="F450" s="16" t="s">
        <v>99</v>
      </c>
      <c r="G450" s="16" t="s">
        <v>39</v>
      </c>
      <c r="H450" s="16" t="s">
        <v>92</v>
      </c>
      <c r="I450" s="16" t="s">
        <v>85</v>
      </c>
      <c r="J450" s="16">
        <v>5</v>
      </c>
      <c r="K450" s="18">
        <v>4360</v>
      </c>
      <c r="L450" s="18">
        <v>21800</v>
      </c>
      <c r="M450" s="18">
        <v>11136.97</v>
      </c>
      <c r="N450" s="18">
        <v>10663.03</v>
      </c>
      <c r="O450" s="19">
        <v>0.48909999999999998</v>
      </c>
      <c r="P450" s="16" t="s">
        <v>80</v>
      </c>
    </row>
    <row r="451" spans="1:16" x14ac:dyDescent="0.3">
      <c r="A451" s="20" t="s">
        <v>587</v>
      </c>
      <c r="B451" s="21">
        <v>45612</v>
      </c>
      <c r="C451" s="20" t="s">
        <v>76</v>
      </c>
      <c r="D451" s="20" t="s">
        <v>57</v>
      </c>
      <c r="E451" s="20" t="s">
        <v>29</v>
      </c>
      <c r="F451" s="20" t="s">
        <v>150</v>
      </c>
      <c r="G451" s="20" t="s">
        <v>38</v>
      </c>
      <c r="H451" s="20" t="s">
        <v>223</v>
      </c>
      <c r="I451" s="20" t="s">
        <v>79</v>
      </c>
      <c r="J451" s="20">
        <v>19</v>
      </c>
      <c r="K451" s="22">
        <v>52370</v>
      </c>
      <c r="L451" s="22">
        <v>995030</v>
      </c>
      <c r="M451" s="22">
        <v>768272.53</v>
      </c>
      <c r="N451" s="22">
        <v>226757.47</v>
      </c>
      <c r="O451" s="23">
        <v>0.22789999999999999</v>
      </c>
      <c r="P451" s="20" t="s">
        <v>80</v>
      </c>
    </row>
    <row r="452" spans="1:16" x14ac:dyDescent="0.3">
      <c r="A452" s="16" t="s">
        <v>588</v>
      </c>
      <c r="B452" s="17">
        <v>45400</v>
      </c>
      <c r="C452" s="16" t="s">
        <v>142</v>
      </c>
      <c r="D452" s="16" t="s">
        <v>55</v>
      </c>
      <c r="E452" s="16" t="s">
        <v>29</v>
      </c>
      <c r="F452" s="16" t="s">
        <v>150</v>
      </c>
      <c r="G452" s="16" t="s">
        <v>40</v>
      </c>
      <c r="H452" s="16" t="s">
        <v>78</v>
      </c>
      <c r="I452" s="16" t="s">
        <v>117</v>
      </c>
      <c r="J452" s="16">
        <v>8</v>
      </c>
      <c r="K452" s="18">
        <v>860</v>
      </c>
      <c r="L452" s="18">
        <v>6880</v>
      </c>
      <c r="M452" s="18">
        <v>5372.29</v>
      </c>
      <c r="N452" s="18">
        <v>1507.71</v>
      </c>
      <c r="O452" s="19">
        <v>0.21909999999999999</v>
      </c>
      <c r="P452" s="16" t="s">
        <v>80</v>
      </c>
    </row>
    <row r="453" spans="1:16" x14ac:dyDescent="0.3">
      <c r="A453" s="20" t="s">
        <v>589</v>
      </c>
      <c r="B453" s="21">
        <v>45440</v>
      </c>
      <c r="C453" s="20" t="s">
        <v>13</v>
      </c>
      <c r="D453" s="20" t="s">
        <v>55</v>
      </c>
      <c r="E453" s="20" t="s">
        <v>30</v>
      </c>
      <c r="F453" s="20" t="s">
        <v>158</v>
      </c>
      <c r="G453" s="20" t="s">
        <v>42</v>
      </c>
      <c r="H453" s="20" t="s">
        <v>187</v>
      </c>
      <c r="I453" s="20" t="s">
        <v>109</v>
      </c>
      <c r="J453" s="20">
        <v>1</v>
      </c>
      <c r="K453" s="22">
        <v>5970</v>
      </c>
      <c r="L453" s="22">
        <v>5970</v>
      </c>
      <c r="M453" s="22">
        <v>4081.88</v>
      </c>
      <c r="N453" s="22">
        <v>1888.12</v>
      </c>
      <c r="O453" s="23">
        <v>0.31630000000000003</v>
      </c>
      <c r="P453" s="20" t="s">
        <v>80</v>
      </c>
    </row>
    <row r="454" spans="1:16" x14ac:dyDescent="0.3">
      <c r="A454" s="16" t="s">
        <v>590</v>
      </c>
      <c r="B454" s="17">
        <v>45606</v>
      </c>
      <c r="C454" s="16" t="s">
        <v>76</v>
      </c>
      <c r="D454" s="16" t="s">
        <v>57</v>
      </c>
      <c r="E454" s="16" t="s">
        <v>30</v>
      </c>
      <c r="F454" s="16" t="s">
        <v>108</v>
      </c>
      <c r="G454" s="16" t="s">
        <v>39</v>
      </c>
      <c r="H454" s="16" t="s">
        <v>105</v>
      </c>
      <c r="I454" s="16" t="s">
        <v>131</v>
      </c>
      <c r="J454" s="16">
        <v>19</v>
      </c>
      <c r="K454" s="18">
        <v>1310</v>
      </c>
      <c r="L454" s="18">
        <v>24890</v>
      </c>
      <c r="M454" s="18">
        <v>13292.72</v>
      </c>
      <c r="N454" s="18">
        <v>11597.28</v>
      </c>
      <c r="O454" s="19">
        <v>0.46589999999999998</v>
      </c>
      <c r="P454" s="16" t="s">
        <v>80</v>
      </c>
    </row>
    <row r="455" spans="1:16" x14ac:dyDescent="0.3">
      <c r="A455" s="20" t="s">
        <v>591</v>
      </c>
      <c r="B455" s="21">
        <v>45539</v>
      </c>
      <c r="C455" s="20" t="s">
        <v>202</v>
      </c>
      <c r="D455" s="20" t="s">
        <v>56</v>
      </c>
      <c r="E455" s="20" t="s">
        <v>31</v>
      </c>
      <c r="F455" s="20" t="s">
        <v>95</v>
      </c>
      <c r="G455" s="20" t="s">
        <v>39</v>
      </c>
      <c r="H455" s="20" t="s">
        <v>105</v>
      </c>
      <c r="I455" s="20" t="s">
        <v>112</v>
      </c>
      <c r="J455" s="20">
        <v>12</v>
      </c>
      <c r="K455" s="22">
        <v>780</v>
      </c>
      <c r="L455" s="22">
        <v>9360</v>
      </c>
      <c r="M455" s="22">
        <v>5396.96</v>
      </c>
      <c r="N455" s="22">
        <v>3963.04</v>
      </c>
      <c r="O455" s="23">
        <v>0.4234</v>
      </c>
      <c r="P455" s="20" t="s">
        <v>80</v>
      </c>
    </row>
    <row r="456" spans="1:16" x14ac:dyDescent="0.3">
      <c r="A456" s="16" t="s">
        <v>592</v>
      </c>
      <c r="B456" s="17">
        <v>45557</v>
      </c>
      <c r="C456" s="16" t="s">
        <v>202</v>
      </c>
      <c r="D456" s="16" t="s">
        <v>56</v>
      </c>
      <c r="E456" s="16" t="s">
        <v>31</v>
      </c>
      <c r="F456" s="16" t="s">
        <v>91</v>
      </c>
      <c r="G456" s="16" t="s">
        <v>41</v>
      </c>
      <c r="H456" s="16" t="s">
        <v>163</v>
      </c>
      <c r="I456" s="16" t="s">
        <v>112</v>
      </c>
      <c r="J456" s="16">
        <v>11</v>
      </c>
      <c r="K456" s="18">
        <v>4880</v>
      </c>
      <c r="L456" s="18">
        <v>53680</v>
      </c>
      <c r="M456" s="18">
        <v>37021.89</v>
      </c>
      <c r="N456" s="18">
        <v>16658.11</v>
      </c>
      <c r="O456" s="19">
        <v>0.31030000000000002</v>
      </c>
      <c r="P456" s="16" t="s">
        <v>80</v>
      </c>
    </row>
    <row r="457" spans="1:16" x14ac:dyDescent="0.3">
      <c r="A457" s="20" t="s">
        <v>593</v>
      </c>
      <c r="B457" s="21">
        <v>45616</v>
      </c>
      <c r="C457" s="20" t="s">
        <v>76</v>
      </c>
      <c r="D457" s="20" t="s">
        <v>57</v>
      </c>
      <c r="E457" s="20" t="s">
        <v>31</v>
      </c>
      <c r="F457" s="20" t="s">
        <v>208</v>
      </c>
      <c r="G457" s="20" t="s">
        <v>40</v>
      </c>
      <c r="H457" s="20" t="s">
        <v>159</v>
      </c>
      <c r="I457" s="20" t="s">
        <v>93</v>
      </c>
      <c r="J457" s="20">
        <v>12</v>
      </c>
      <c r="K457" s="22">
        <v>1380</v>
      </c>
      <c r="L457" s="22">
        <v>16560</v>
      </c>
      <c r="M457" s="22">
        <v>13434</v>
      </c>
      <c r="N457" s="22">
        <v>3126</v>
      </c>
      <c r="O457" s="23">
        <v>0.1888</v>
      </c>
      <c r="P457" s="20" t="s">
        <v>80</v>
      </c>
    </row>
    <row r="458" spans="1:16" x14ac:dyDescent="0.3">
      <c r="A458" s="16" t="s">
        <v>594</v>
      </c>
      <c r="B458" s="17">
        <v>45331</v>
      </c>
      <c r="C458" s="16" t="s">
        <v>82</v>
      </c>
      <c r="D458" s="16" t="s">
        <v>53</v>
      </c>
      <c r="E458" s="16" t="s">
        <v>33</v>
      </c>
      <c r="F458" s="16" t="s">
        <v>83</v>
      </c>
      <c r="G458" s="16" t="s">
        <v>41</v>
      </c>
      <c r="H458" s="16" t="s">
        <v>178</v>
      </c>
      <c r="I458" s="16" t="s">
        <v>85</v>
      </c>
      <c r="J458" s="16">
        <v>12</v>
      </c>
      <c r="K458" s="18">
        <v>22070</v>
      </c>
      <c r="L458" s="18">
        <v>264840</v>
      </c>
      <c r="M458" s="18">
        <v>172493.96</v>
      </c>
      <c r="N458" s="18">
        <v>92346.04</v>
      </c>
      <c r="O458" s="19">
        <v>0.34870000000000001</v>
      </c>
      <c r="P458" s="16" t="s">
        <v>80</v>
      </c>
    </row>
    <row r="459" spans="1:16" x14ac:dyDescent="0.3">
      <c r="A459" s="20" t="s">
        <v>595</v>
      </c>
      <c r="B459" s="21">
        <v>45601</v>
      </c>
      <c r="C459" s="20" t="s">
        <v>76</v>
      </c>
      <c r="D459" s="20" t="s">
        <v>57</v>
      </c>
      <c r="E459" s="20" t="s">
        <v>29</v>
      </c>
      <c r="F459" s="20" t="s">
        <v>150</v>
      </c>
      <c r="G459" s="20" t="s">
        <v>39</v>
      </c>
      <c r="H459" s="20" t="s">
        <v>105</v>
      </c>
      <c r="I459" s="20" t="s">
        <v>117</v>
      </c>
      <c r="J459" s="20">
        <v>17</v>
      </c>
      <c r="K459" s="22">
        <v>1530</v>
      </c>
      <c r="L459" s="22">
        <v>26010</v>
      </c>
      <c r="M459" s="22">
        <v>13932.32</v>
      </c>
      <c r="N459" s="22">
        <v>12077.68</v>
      </c>
      <c r="O459" s="23">
        <v>0.46429999999999999</v>
      </c>
      <c r="P459" s="20" t="s">
        <v>80</v>
      </c>
    </row>
    <row r="460" spans="1:16" x14ac:dyDescent="0.3">
      <c r="A460" s="16" t="s">
        <v>596</v>
      </c>
      <c r="B460" s="17">
        <v>45387</v>
      </c>
      <c r="C460" s="16" t="s">
        <v>142</v>
      </c>
      <c r="D460" s="16" t="s">
        <v>55</v>
      </c>
      <c r="E460" s="16" t="s">
        <v>30</v>
      </c>
      <c r="F460" s="16" t="s">
        <v>158</v>
      </c>
      <c r="G460" s="16" t="s">
        <v>42</v>
      </c>
      <c r="H460" s="16" t="s">
        <v>148</v>
      </c>
      <c r="I460" s="16" t="s">
        <v>109</v>
      </c>
      <c r="J460" s="16">
        <v>11</v>
      </c>
      <c r="K460" s="18">
        <v>6690</v>
      </c>
      <c r="L460" s="18">
        <v>73590</v>
      </c>
      <c r="M460" s="18">
        <v>49892.14</v>
      </c>
      <c r="N460" s="18">
        <v>23697.86</v>
      </c>
      <c r="O460" s="19">
        <v>0.32200000000000001</v>
      </c>
      <c r="P460" s="16" t="s">
        <v>80</v>
      </c>
    </row>
    <row r="461" spans="1:16" x14ac:dyDescent="0.3">
      <c r="A461" s="20" t="s">
        <v>597</v>
      </c>
      <c r="B461" s="21">
        <v>45537</v>
      </c>
      <c r="C461" s="20" t="s">
        <v>202</v>
      </c>
      <c r="D461" s="20" t="s">
        <v>56</v>
      </c>
      <c r="E461" s="20" t="s">
        <v>32</v>
      </c>
      <c r="F461" s="20" t="s">
        <v>145</v>
      </c>
      <c r="G461" s="20" t="s">
        <v>42</v>
      </c>
      <c r="H461" s="20" t="s">
        <v>187</v>
      </c>
      <c r="I461" s="20" t="s">
        <v>140</v>
      </c>
      <c r="J461" s="20">
        <v>2</v>
      </c>
      <c r="K461" s="22">
        <v>1120</v>
      </c>
      <c r="L461" s="22">
        <v>2240</v>
      </c>
      <c r="M461" s="22">
        <v>1651.35</v>
      </c>
      <c r="N461" s="22">
        <v>588.65</v>
      </c>
      <c r="O461" s="23">
        <v>0.26279999999999998</v>
      </c>
      <c r="P461" s="20" t="s">
        <v>80</v>
      </c>
    </row>
    <row r="462" spans="1:16" x14ac:dyDescent="0.3">
      <c r="A462" s="16" t="s">
        <v>598</v>
      </c>
      <c r="B462" s="17">
        <v>45360</v>
      </c>
      <c r="C462" s="16" t="s">
        <v>122</v>
      </c>
      <c r="D462" s="16" t="s">
        <v>53</v>
      </c>
      <c r="E462" s="16" t="s">
        <v>33</v>
      </c>
      <c r="F462" s="16" t="s">
        <v>99</v>
      </c>
      <c r="G462" s="16" t="s">
        <v>42</v>
      </c>
      <c r="H462" s="16" t="s">
        <v>156</v>
      </c>
      <c r="I462" s="16" t="s">
        <v>85</v>
      </c>
      <c r="J462" s="16">
        <v>6</v>
      </c>
      <c r="K462" s="18">
        <v>3160</v>
      </c>
      <c r="L462" s="18">
        <v>18960</v>
      </c>
      <c r="M462" s="18">
        <v>13240.45</v>
      </c>
      <c r="N462" s="18">
        <v>5719.55</v>
      </c>
      <c r="O462" s="19">
        <v>0.30170000000000002</v>
      </c>
      <c r="P462" s="16" t="s">
        <v>80</v>
      </c>
    </row>
    <row r="463" spans="1:16" x14ac:dyDescent="0.3">
      <c r="A463" s="20" t="s">
        <v>599</v>
      </c>
      <c r="B463" s="21">
        <v>45580</v>
      </c>
      <c r="C463" s="20" t="s">
        <v>107</v>
      </c>
      <c r="D463" s="20" t="s">
        <v>57</v>
      </c>
      <c r="E463" s="20" t="s">
        <v>29</v>
      </c>
      <c r="F463" s="20" t="s">
        <v>150</v>
      </c>
      <c r="G463" s="20" t="s">
        <v>40</v>
      </c>
      <c r="H463" s="20" t="s">
        <v>78</v>
      </c>
      <c r="I463" s="20" t="s">
        <v>79</v>
      </c>
      <c r="J463" s="20">
        <v>16</v>
      </c>
      <c r="K463" s="22">
        <v>1010</v>
      </c>
      <c r="L463" s="22">
        <v>16160</v>
      </c>
      <c r="M463" s="22">
        <v>12657.64</v>
      </c>
      <c r="N463" s="22">
        <v>3502.36</v>
      </c>
      <c r="O463" s="23">
        <v>0.2167</v>
      </c>
      <c r="P463" s="20" t="s">
        <v>80</v>
      </c>
    </row>
    <row r="464" spans="1:16" x14ac:dyDescent="0.3">
      <c r="A464" s="16" t="s">
        <v>600</v>
      </c>
      <c r="B464" s="17">
        <v>45502</v>
      </c>
      <c r="C464" s="16" t="s">
        <v>98</v>
      </c>
      <c r="D464" s="16" t="s">
        <v>56</v>
      </c>
      <c r="E464" s="16" t="s">
        <v>33</v>
      </c>
      <c r="F464" s="16" t="s">
        <v>99</v>
      </c>
      <c r="G464" s="16" t="s">
        <v>42</v>
      </c>
      <c r="H464" s="16" t="s">
        <v>133</v>
      </c>
      <c r="I464" s="16" t="s">
        <v>85</v>
      </c>
      <c r="J464" s="16">
        <v>9</v>
      </c>
      <c r="K464" s="18">
        <v>10170</v>
      </c>
      <c r="L464" s="18">
        <v>91530</v>
      </c>
      <c r="M464" s="18">
        <v>67112.34</v>
      </c>
      <c r="N464" s="18">
        <v>24417.66</v>
      </c>
      <c r="O464" s="19">
        <v>0.26679999999999998</v>
      </c>
      <c r="P464" s="16" t="s">
        <v>80</v>
      </c>
    </row>
    <row r="465" spans="1:16" x14ac:dyDescent="0.3">
      <c r="A465" s="20" t="s">
        <v>601</v>
      </c>
      <c r="B465" s="21">
        <v>45524</v>
      </c>
      <c r="C465" s="20" t="s">
        <v>90</v>
      </c>
      <c r="D465" s="20" t="s">
        <v>56</v>
      </c>
      <c r="E465" s="20" t="s">
        <v>33</v>
      </c>
      <c r="F465" s="20" t="s">
        <v>104</v>
      </c>
      <c r="G465" s="20" t="s">
        <v>38</v>
      </c>
      <c r="H465" s="20" t="s">
        <v>123</v>
      </c>
      <c r="I465" s="20" t="s">
        <v>85</v>
      </c>
      <c r="J465" s="20">
        <v>4</v>
      </c>
      <c r="K465" s="22">
        <v>33910</v>
      </c>
      <c r="L465" s="22">
        <v>135640</v>
      </c>
      <c r="M465" s="22">
        <v>112356.54</v>
      </c>
      <c r="N465" s="22">
        <v>23283.46</v>
      </c>
      <c r="O465" s="23">
        <v>0.17169999999999999</v>
      </c>
      <c r="P465" s="20" t="s">
        <v>80</v>
      </c>
    </row>
    <row r="466" spans="1:16" x14ac:dyDescent="0.3">
      <c r="A466" s="16" t="s">
        <v>602</v>
      </c>
      <c r="B466" s="17">
        <v>45550</v>
      </c>
      <c r="C466" s="16" t="s">
        <v>202</v>
      </c>
      <c r="D466" s="16" t="s">
        <v>56</v>
      </c>
      <c r="E466" s="16" t="s">
        <v>32</v>
      </c>
      <c r="F466" s="16" t="s">
        <v>145</v>
      </c>
      <c r="G466" s="16" t="s">
        <v>42</v>
      </c>
      <c r="H466" s="16" t="s">
        <v>148</v>
      </c>
      <c r="I466" s="16" t="s">
        <v>140</v>
      </c>
      <c r="J466" s="16">
        <v>20</v>
      </c>
      <c r="K466" s="18">
        <v>7560</v>
      </c>
      <c r="L466" s="18">
        <v>151200</v>
      </c>
      <c r="M466" s="18">
        <v>104330.82</v>
      </c>
      <c r="N466" s="18">
        <v>46869.18</v>
      </c>
      <c r="O466" s="19">
        <v>0.31</v>
      </c>
      <c r="P466" s="16" t="s">
        <v>80</v>
      </c>
    </row>
    <row r="467" spans="1:16" x14ac:dyDescent="0.3">
      <c r="A467" s="20" t="s">
        <v>603</v>
      </c>
      <c r="B467" s="21">
        <v>45564</v>
      </c>
      <c r="C467" s="20" t="s">
        <v>202</v>
      </c>
      <c r="D467" s="20" t="s">
        <v>56</v>
      </c>
      <c r="E467" s="20" t="s">
        <v>33</v>
      </c>
      <c r="F467" s="20" t="s">
        <v>99</v>
      </c>
      <c r="G467" s="20" t="s">
        <v>38</v>
      </c>
      <c r="H467" s="20" t="s">
        <v>100</v>
      </c>
      <c r="I467" s="20" t="s">
        <v>88</v>
      </c>
      <c r="J467" s="20">
        <v>18</v>
      </c>
      <c r="K467" s="22">
        <v>72650</v>
      </c>
      <c r="L467" s="22">
        <v>1307700</v>
      </c>
      <c r="M467" s="22">
        <v>977175.98</v>
      </c>
      <c r="N467" s="22">
        <v>330524.02</v>
      </c>
      <c r="O467" s="23">
        <v>0.25280000000000002</v>
      </c>
      <c r="P467" s="20" t="s">
        <v>80</v>
      </c>
    </row>
    <row r="468" spans="1:16" x14ac:dyDescent="0.3">
      <c r="A468" s="16" t="s">
        <v>604</v>
      </c>
      <c r="B468" s="17">
        <v>45639</v>
      </c>
      <c r="C468" s="16" t="s">
        <v>175</v>
      </c>
      <c r="D468" s="16" t="s">
        <v>57</v>
      </c>
      <c r="E468" s="16" t="s">
        <v>32</v>
      </c>
      <c r="F468" s="16" t="s">
        <v>139</v>
      </c>
      <c r="G468" s="16" t="s">
        <v>41</v>
      </c>
      <c r="H468" s="16" t="s">
        <v>163</v>
      </c>
      <c r="I468" s="16" t="s">
        <v>146</v>
      </c>
      <c r="J468" s="16">
        <v>14</v>
      </c>
      <c r="K468" s="18">
        <v>35790</v>
      </c>
      <c r="L468" s="18">
        <v>501060</v>
      </c>
      <c r="M468" s="18">
        <v>339243.36</v>
      </c>
      <c r="N468" s="18">
        <v>161816.64000000001</v>
      </c>
      <c r="O468" s="19">
        <v>0.32290000000000002</v>
      </c>
      <c r="P468" s="16" t="s">
        <v>80</v>
      </c>
    </row>
    <row r="469" spans="1:16" x14ac:dyDescent="0.3">
      <c r="A469" s="20" t="s">
        <v>605</v>
      </c>
      <c r="B469" s="21">
        <v>45487</v>
      </c>
      <c r="C469" s="20" t="s">
        <v>98</v>
      </c>
      <c r="D469" s="20" t="s">
        <v>56</v>
      </c>
      <c r="E469" s="20" t="s">
        <v>31</v>
      </c>
      <c r="F469" s="20" t="s">
        <v>208</v>
      </c>
      <c r="G469" s="20" t="s">
        <v>42</v>
      </c>
      <c r="H469" s="20" t="s">
        <v>187</v>
      </c>
      <c r="I469" s="20" t="s">
        <v>93</v>
      </c>
      <c r="J469" s="20">
        <v>16</v>
      </c>
      <c r="K469" s="22">
        <v>2700</v>
      </c>
      <c r="L469" s="22">
        <v>43200</v>
      </c>
      <c r="M469" s="22">
        <v>29091.49</v>
      </c>
      <c r="N469" s="22">
        <v>14108.51</v>
      </c>
      <c r="O469" s="23">
        <v>0.3266</v>
      </c>
      <c r="P469" s="20" t="s">
        <v>80</v>
      </c>
    </row>
    <row r="470" spans="1:16" x14ac:dyDescent="0.3">
      <c r="A470" s="16" t="s">
        <v>606</v>
      </c>
      <c r="B470" s="17">
        <v>45334</v>
      </c>
      <c r="C470" s="16" t="s">
        <v>82</v>
      </c>
      <c r="D470" s="16" t="s">
        <v>53</v>
      </c>
      <c r="E470" s="16" t="s">
        <v>31</v>
      </c>
      <c r="F470" s="16" t="s">
        <v>208</v>
      </c>
      <c r="G470" s="16" t="s">
        <v>42</v>
      </c>
      <c r="H470" s="16" t="s">
        <v>114</v>
      </c>
      <c r="I470" s="16" t="s">
        <v>112</v>
      </c>
      <c r="J470" s="16">
        <v>1</v>
      </c>
      <c r="K470" s="18">
        <v>3480</v>
      </c>
      <c r="L470" s="18">
        <v>3480</v>
      </c>
      <c r="M470" s="18">
        <v>2408.86</v>
      </c>
      <c r="N470" s="18">
        <v>1071.1400000000001</v>
      </c>
      <c r="O470" s="19">
        <v>0.30780000000000002</v>
      </c>
      <c r="P470" s="16" t="s">
        <v>80</v>
      </c>
    </row>
    <row r="471" spans="1:16" x14ac:dyDescent="0.3">
      <c r="A471" s="20" t="s">
        <v>607</v>
      </c>
      <c r="B471" s="21">
        <v>45295</v>
      </c>
      <c r="C471" s="20" t="s">
        <v>116</v>
      </c>
      <c r="D471" s="20" t="s">
        <v>53</v>
      </c>
      <c r="E471" s="20" t="s">
        <v>32</v>
      </c>
      <c r="F471" s="20" t="s">
        <v>139</v>
      </c>
      <c r="G471" s="20" t="s">
        <v>39</v>
      </c>
      <c r="H471" s="20" t="s">
        <v>137</v>
      </c>
      <c r="I471" s="20" t="s">
        <v>146</v>
      </c>
      <c r="J471" s="20">
        <v>5</v>
      </c>
      <c r="K471" s="22">
        <v>2130</v>
      </c>
      <c r="L471" s="22">
        <v>10650</v>
      </c>
      <c r="M471" s="22">
        <v>5936.23</v>
      </c>
      <c r="N471" s="22">
        <v>4713.7700000000004</v>
      </c>
      <c r="O471" s="23">
        <v>0.44259999999999999</v>
      </c>
      <c r="P471" s="20" t="s">
        <v>80</v>
      </c>
    </row>
    <row r="472" spans="1:16" x14ac:dyDescent="0.3">
      <c r="A472" s="16" t="s">
        <v>608</v>
      </c>
      <c r="B472" s="17">
        <v>45425</v>
      </c>
      <c r="C472" s="16" t="s">
        <v>13</v>
      </c>
      <c r="D472" s="16" t="s">
        <v>55</v>
      </c>
      <c r="E472" s="16" t="s">
        <v>33</v>
      </c>
      <c r="F472" s="16" t="s">
        <v>83</v>
      </c>
      <c r="G472" s="16" t="s">
        <v>42</v>
      </c>
      <c r="H472" s="16" t="s">
        <v>133</v>
      </c>
      <c r="I472" s="16" t="s">
        <v>88</v>
      </c>
      <c r="J472" s="16">
        <v>13</v>
      </c>
      <c r="K472" s="18">
        <v>4710</v>
      </c>
      <c r="L472" s="18">
        <v>61230</v>
      </c>
      <c r="M472" s="18">
        <v>41299.81</v>
      </c>
      <c r="N472" s="18">
        <v>19930.189999999999</v>
      </c>
      <c r="O472" s="19">
        <v>0.32550000000000001</v>
      </c>
      <c r="P472" s="16" t="s">
        <v>80</v>
      </c>
    </row>
    <row r="473" spans="1:16" x14ac:dyDescent="0.3">
      <c r="A473" s="20" t="s">
        <v>609</v>
      </c>
      <c r="B473" s="21">
        <v>45577</v>
      </c>
      <c r="C473" s="20" t="s">
        <v>107</v>
      </c>
      <c r="D473" s="20" t="s">
        <v>57</v>
      </c>
      <c r="E473" s="20" t="s">
        <v>32</v>
      </c>
      <c r="F473" s="20" t="s">
        <v>145</v>
      </c>
      <c r="G473" s="20" t="s">
        <v>40</v>
      </c>
      <c r="H473" s="20" t="s">
        <v>102</v>
      </c>
      <c r="I473" s="20" t="s">
        <v>146</v>
      </c>
      <c r="J473" s="20">
        <v>19</v>
      </c>
      <c r="K473" s="22">
        <v>1980</v>
      </c>
      <c r="L473" s="22">
        <v>37620</v>
      </c>
      <c r="M473" s="22">
        <v>31433.93</v>
      </c>
      <c r="N473" s="22">
        <v>6186.07</v>
      </c>
      <c r="O473" s="23">
        <v>0.16439999999999999</v>
      </c>
      <c r="P473" s="20" t="s">
        <v>80</v>
      </c>
    </row>
    <row r="474" spans="1:16" x14ac:dyDescent="0.3">
      <c r="A474" s="16" t="s">
        <v>610</v>
      </c>
      <c r="B474" s="17">
        <v>45362</v>
      </c>
      <c r="C474" s="16" t="s">
        <v>122</v>
      </c>
      <c r="D474" s="16" t="s">
        <v>53</v>
      </c>
      <c r="E474" s="16" t="s">
        <v>29</v>
      </c>
      <c r="F474" s="16" t="s">
        <v>150</v>
      </c>
      <c r="G474" s="16" t="s">
        <v>39</v>
      </c>
      <c r="H474" s="16" t="s">
        <v>105</v>
      </c>
      <c r="I474" s="16" t="s">
        <v>117</v>
      </c>
      <c r="J474" s="16">
        <v>17</v>
      </c>
      <c r="K474" s="18">
        <v>950</v>
      </c>
      <c r="L474" s="18">
        <v>16150</v>
      </c>
      <c r="M474" s="18">
        <v>9043.09</v>
      </c>
      <c r="N474" s="18">
        <v>7106.91</v>
      </c>
      <c r="O474" s="19">
        <v>0.44009999999999999</v>
      </c>
      <c r="P474" s="16" t="s">
        <v>80</v>
      </c>
    </row>
    <row r="475" spans="1:16" x14ac:dyDescent="0.3">
      <c r="A475" s="20" t="s">
        <v>611</v>
      </c>
      <c r="B475" s="21">
        <v>45573</v>
      </c>
      <c r="C475" s="20" t="s">
        <v>107</v>
      </c>
      <c r="D475" s="20" t="s">
        <v>57</v>
      </c>
      <c r="E475" s="20" t="s">
        <v>33</v>
      </c>
      <c r="F475" s="20" t="s">
        <v>104</v>
      </c>
      <c r="G475" s="20" t="s">
        <v>38</v>
      </c>
      <c r="H475" s="20" t="s">
        <v>123</v>
      </c>
      <c r="I475" s="20" t="s">
        <v>85</v>
      </c>
      <c r="J475" s="20">
        <v>1</v>
      </c>
      <c r="K475" s="22">
        <v>77340</v>
      </c>
      <c r="L475" s="22">
        <v>77340</v>
      </c>
      <c r="M475" s="22">
        <v>57971.21</v>
      </c>
      <c r="N475" s="22">
        <v>19368.79</v>
      </c>
      <c r="O475" s="23">
        <v>0.25040000000000001</v>
      </c>
      <c r="P475" s="20" t="s">
        <v>80</v>
      </c>
    </row>
    <row r="476" spans="1:16" x14ac:dyDescent="0.3">
      <c r="A476" s="16" t="s">
        <v>612</v>
      </c>
      <c r="B476" s="17">
        <v>45533</v>
      </c>
      <c r="C476" s="16" t="s">
        <v>90</v>
      </c>
      <c r="D476" s="16" t="s">
        <v>56</v>
      </c>
      <c r="E476" s="16" t="s">
        <v>33</v>
      </c>
      <c r="F476" s="16" t="s">
        <v>83</v>
      </c>
      <c r="G476" s="16" t="s">
        <v>38</v>
      </c>
      <c r="H476" s="16" t="s">
        <v>119</v>
      </c>
      <c r="I476" s="16" t="s">
        <v>85</v>
      </c>
      <c r="J476" s="16">
        <v>3</v>
      </c>
      <c r="K476" s="18">
        <v>21630</v>
      </c>
      <c r="L476" s="18">
        <v>64890</v>
      </c>
      <c r="M476" s="18">
        <v>49906.71</v>
      </c>
      <c r="N476" s="18">
        <v>14983.29</v>
      </c>
      <c r="O476" s="19">
        <v>0.23089999999999999</v>
      </c>
      <c r="P476" s="16" t="s">
        <v>80</v>
      </c>
    </row>
    <row r="477" spans="1:16" x14ac:dyDescent="0.3">
      <c r="A477" s="20" t="s">
        <v>613</v>
      </c>
      <c r="B477" s="21">
        <v>45497</v>
      </c>
      <c r="C477" s="20" t="s">
        <v>98</v>
      </c>
      <c r="D477" s="20" t="s">
        <v>56</v>
      </c>
      <c r="E477" s="20" t="s">
        <v>33</v>
      </c>
      <c r="F477" s="20" t="s">
        <v>104</v>
      </c>
      <c r="G477" s="20" t="s">
        <v>42</v>
      </c>
      <c r="H477" s="20" t="s">
        <v>133</v>
      </c>
      <c r="I477" s="20" t="s">
        <v>88</v>
      </c>
      <c r="J477" s="20">
        <v>6</v>
      </c>
      <c r="K477" s="22">
        <v>1620</v>
      </c>
      <c r="L477" s="22">
        <v>9720</v>
      </c>
      <c r="M477" s="22">
        <v>6667.64</v>
      </c>
      <c r="N477" s="22">
        <v>3052.36</v>
      </c>
      <c r="O477" s="23">
        <v>0.314</v>
      </c>
      <c r="P477" s="20" t="s">
        <v>80</v>
      </c>
    </row>
    <row r="478" spans="1:16" x14ac:dyDescent="0.3">
      <c r="A478" s="16" t="s">
        <v>614</v>
      </c>
      <c r="B478" s="17">
        <v>45395</v>
      </c>
      <c r="C478" s="16" t="s">
        <v>142</v>
      </c>
      <c r="D478" s="16" t="s">
        <v>55</v>
      </c>
      <c r="E478" s="16" t="s">
        <v>33</v>
      </c>
      <c r="F478" s="16" t="s">
        <v>83</v>
      </c>
      <c r="G478" s="16" t="s">
        <v>39</v>
      </c>
      <c r="H478" s="16" t="s">
        <v>87</v>
      </c>
      <c r="I478" s="16" t="s">
        <v>85</v>
      </c>
      <c r="J478" s="16">
        <v>8</v>
      </c>
      <c r="K478" s="18">
        <v>2800</v>
      </c>
      <c r="L478" s="18">
        <v>22400</v>
      </c>
      <c r="M478" s="18">
        <v>12061.97</v>
      </c>
      <c r="N478" s="18">
        <v>10338.030000000001</v>
      </c>
      <c r="O478" s="19">
        <v>0.46150000000000002</v>
      </c>
      <c r="P478" s="16" t="s">
        <v>80</v>
      </c>
    </row>
    <row r="479" spans="1:16" x14ac:dyDescent="0.3">
      <c r="A479" s="20" t="s">
        <v>615</v>
      </c>
      <c r="B479" s="21">
        <v>45476</v>
      </c>
      <c r="C479" s="20" t="s">
        <v>98</v>
      </c>
      <c r="D479" s="20" t="s">
        <v>56</v>
      </c>
      <c r="E479" s="20" t="s">
        <v>30</v>
      </c>
      <c r="F479" s="20" t="s">
        <v>108</v>
      </c>
      <c r="G479" s="20" t="s">
        <v>38</v>
      </c>
      <c r="H479" s="20" t="s">
        <v>84</v>
      </c>
      <c r="I479" s="20" t="s">
        <v>109</v>
      </c>
      <c r="J479" s="20">
        <v>13</v>
      </c>
      <c r="K479" s="22">
        <v>79760</v>
      </c>
      <c r="L479" s="22">
        <v>1036880</v>
      </c>
      <c r="M479" s="22">
        <v>823995.3</v>
      </c>
      <c r="N479" s="22">
        <v>212884.7</v>
      </c>
      <c r="O479" s="23">
        <v>0.20530000000000001</v>
      </c>
      <c r="P479" s="20" t="s">
        <v>80</v>
      </c>
    </row>
    <row r="480" spans="1:16" x14ac:dyDescent="0.3">
      <c r="A480" s="16" t="s">
        <v>616</v>
      </c>
      <c r="B480" s="17">
        <v>45592</v>
      </c>
      <c r="C480" s="16" t="s">
        <v>107</v>
      </c>
      <c r="D480" s="16" t="s">
        <v>57</v>
      </c>
      <c r="E480" s="16" t="s">
        <v>30</v>
      </c>
      <c r="F480" s="16" t="s">
        <v>108</v>
      </c>
      <c r="G480" s="16" t="s">
        <v>38</v>
      </c>
      <c r="H480" s="16" t="s">
        <v>84</v>
      </c>
      <c r="I480" s="16" t="s">
        <v>109</v>
      </c>
      <c r="J480" s="16">
        <v>18</v>
      </c>
      <c r="K480" s="18">
        <v>46220</v>
      </c>
      <c r="L480" s="18">
        <v>831960</v>
      </c>
      <c r="M480" s="18">
        <v>614401.71</v>
      </c>
      <c r="N480" s="18">
        <v>217558.29</v>
      </c>
      <c r="O480" s="19">
        <v>0.26150000000000001</v>
      </c>
      <c r="P480" s="16" t="s">
        <v>80</v>
      </c>
    </row>
    <row r="481" spans="1:16" x14ac:dyDescent="0.3">
      <c r="A481" s="20" t="s">
        <v>617</v>
      </c>
      <c r="B481" s="21">
        <v>45433</v>
      </c>
      <c r="C481" s="20" t="s">
        <v>13</v>
      </c>
      <c r="D481" s="20" t="s">
        <v>55</v>
      </c>
      <c r="E481" s="20" t="s">
        <v>30</v>
      </c>
      <c r="F481" s="20" t="s">
        <v>108</v>
      </c>
      <c r="G481" s="20" t="s">
        <v>39</v>
      </c>
      <c r="H481" s="20" t="s">
        <v>137</v>
      </c>
      <c r="I481" s="20" t="s">
        <v>131</v>
      </c>
      <c r="J481" s="20">
        <v>9</v>
      </c>
      <c r="K481" s="22">
        <v>3090</v>
      </c>
      <c r="L481" s="22">
        <v>27810</v>
      </c>
      <c r="M481" s="22">
        <v>16199.23</v>
      </c>
      <c r="N481" s="22">
        <v>11610.77</v>
      </c>
      <c r="O481" s="23">
        <v>0.41749999999999998</v>
      </c>
      <c r="P481" s="20" t="s">
        <v>80</v>
      </c>
    </row>
    <row r="482" spans="1:16" x14ac:dyDescent="0.3">
      <c r="A482" s="16" t="s">
        <v>618</v>
      </c>
      <c r="B482" s="17">
        <v>45578</v>
      </c>
      <c r="C482" s="16" t="s">
        <v>107</v>
      </c>
      <c r="D482" s="16" t="s">
        <v>57</v>
      </c>
      <c r="E482" s="16" t="s">
        <v>29</v>
      </c>
      <c r="F482" s="16" t="s">
        <v>150</v>
      </c>
      <c r="G482" s="16" t="s">
        <v>40</v>
      </c>
      <c r="H482" s="16" t="s">
        <v>151</v>
      </c>
      <c r="I482" s="16" t="s">
        <v>117</v>
      </c>
      <c r="J482" s="16">
        <v>9</v>
      </c>
      <c r="K482" s="18">
        <v>1650</v>
      </c>
      <c r="L482" s="18">
        <v>14850</v>
      </c>
      <c r="M482" s="18">
        <v>11618.47</v>
      </c>
      <c r="N482" s="18">
        <v>3231.53</v>
      </c>
      <c r="O482" s="19">
        <v>0.21759999999999999</v>
      </c>
      <c r="P482" s="16" t="s">
        <v>80</v>
      </c>
    </row>
    <row r="483" spans="1:16" x14ac:dyDescent="0.3">
      <c r="A483" s="20" t="s">
        <v>619</v>
      </c>
      <c r="B483" s="21">
        <v>45586</v>
      </c>
      <c r="C483" s="20" t="s">
        <v>107</v>
      </c>
      <c r="D483" s="20" t="s">
        <v>57</v>
      </c>
      <c r="E483" s="20" t="s">
        <v>31</v>
      </c>
      <c r="F483" s="20" t="s">
        <v>208</v>
      </c>
      <c r="G483" s="20" t="s">
        <v>41</v>
      </c>
      <c r="H483" s="20" t="s">
        <v>178</v>
      </c>
      <c r="I483" s="20" t="s">
        <v>112</v>
      </c>
      <c r="J483" s="20">
        <v>8</v>
      </c>
      <c r="K483" s="22">
        <v>25730</v>
      </c>
      <c r="L483" s="22">
        <v>205840</v>
      </c>
      <c r="M483" s="22">
        <v>128496.17</v>
      </c>
      <c r="N483" s="22">
        <v>77343.83</v>
      </c>
      <c r="O483" s="23">
        <v>0.37569999999999998</v>
      </c>
      <c r="P483" s="20" t="s">
        <v>80</v>
      </c>
    </row>
    <row r="484" spans="1:16" x14ac:dyDescent="0.3">
      <c r="A484" s="16" t="s">
        <v>620</v>
      </c>
      <c r="B484" s="17">
        <v>45526</v>
      </c>
      <c r="C484" s="16" t="s">
        <v>90</v>
      </c>
      <c r="D484" s="16" t="s">
        <v>56</v>
      </c>
      <c r="E484" s="16" t="s">
        <v>32</v>
      </c>
      <c r="F484" s="16" t="s">
        <v>139</v>
      </c>
      <c r="G484" s="16" t="s">
        <v>38</v>
      </c>
      <c r="H484" s="16" t="s">
        <v>84</v>
      </c>
      <c r="I484" s="16" t="s">
        <v>146</v>
      </c>
      <c r="J484" s="16">
        <v>13</v>
      </c>
      <c r="K484" s="18">
        <v>24340</v>
      </c>
      <c r="L484" s="18">
        <v>316420</v>
      </c>
      <c r="M484" s="18">
        <v>242578.27</v>
      </c>
      <c r="N484" s="18">
        <v>73841.73</v>
      </c>
      <c r="O484" s="19">
        <v>0.2334</v>
      </c>
      <c r="P484" s="16" t="s">
        <v>80</v>
      </c>
    </row>
    <row r="485" spans="1:16" x14ac:dyDescent="0.3">
      <c r="A485" s="20" t="s">
        <v>621</v>
      </c>
      <c r="B485" s="21">
        <v>45638</v>
      </c>
      <c r="C485" s="20" t="s">
        <v>175</v>
      </c>
      <c r="D485" s="20" t="s">
        <v>57</v>
      </c>
      <c r="E485" s="20" t="s">
        <v>30</v>
      </c>
      <c r="F485" s="20" t="s">
        <v>158</v>
      </c>
      <c r="G485" s="20" t="s">
        <v>41</v>
      </c>
      <c r="H485" s="20" t="s">
        <v>178</v>
      </c>
      <c r="I485" s="20" t="s">
        <v>131</v>
      </c>
      <c r="J485" s="20">
        <v>9</v>
      </c>
      <c r="K485" s="22">
        <v>28180</v>
      </c>
      <c r="L485" s="22">
        <v>253620</v>
      </c>
      <c r="M485" s="22">
        <v>171237.69</v>
      </c>
      <c r="N485" s="22">
        <v>82382.31</v>
      </c>
      <c r="O485" s="23">
        <v>0.32479999999999998</v>
      </c>
      <c r="P485" s="20" t="s">
        <v>80</v>
      </c>
    </row>
    <row r="486" spans="1:16" x14ac:dyDescent="0.3">
      <c r="A486" s="16" t="s">
        <v>622</v>
      </c>
      <c r="B486" s="17">
        <v>45636</v>
      </c>
      <c r="C486" s="16" t="s">
        <v>175</v>
      </c>
      <c r="D486" s="16" t="s">
        <v>57</v>
      </c>
      <c r="E486" s="16" t="s">
        <v>31</v>
      </c>
      <c r="F486" s="16" t="s">
        <v>95</v>
      </c>
      <c r="G486" s="16" t="s">
        <v>42</v>
      </c>
      <c r="H486" s="16" t="s">
        <v>187</v>
      </c>
      <c r="I486" s="16" t="s">
        <v>93</v>
      </c>
      <c r="J486" s="16">
        <v>7</v>
      </c>
      <c r="K486" s="18">
        <v>5260</v>
      </c>
      <c r="L486" s="18">
        <v>36820</v>
      </c>
      <c r="M486" s="18">
        <v>24322.13</v>
      </c>
      <c r="N486" s="18">
        <v>12497.87</v>
      </c>
      <c r="O486" s="19">
        <v>0.33939999999999998</v>
      </c>
      <c r="P486" s="16" t="s">
        <v>80</v>
      </c>
    </row>
    <row r="487" spans="1:16" x14ac:dyDescent="0.3">
      <c r="A487" s="20" t="s">
        <v>623</v>
      </c>
      <c r="B487" s="21">
        <v>45641</v>
      </c>
      <c r="C487" s="20" t="s">
        <v>175</v>
      </c>
      <c r="D487" s="20" t="s">
        <v>57</v>
      </c>
      <c r="E487" s="20" t="s">
        <v>30</v>
      </c>
      <c r="F487" s="20" t="s">
        <v>158</v>
      </c>
      <c r="G487" s="20" t="s">
        <v>39</v>
      </c>
      <c r="H487" s="20" t="s">
        <v>105</v>
      </c>
      <c r="I487" s="20" t="s">
        <v>109</v>
      </c>
      <c r="J487" s="20">
        <v>7</v>
      </c>
      <c r="K487" s="22">
        <v>4430</v>
      </c>
      <c r="L487" s="22">
        <v>31010</v>
      </c>
      <c r="M487" s="22">
        <v>17895.23</v>
      </c>
      <c r="N487" s="22">
        <v>13114.77</v>
      </c>
      <c r="O487" s="23">
        <v>0.4229</v>
      </c>
      <c r="P487" s="20" t="s">
        <v>80</v>
      </c>
    </row>
    <row r="488" spans="1:16" x14ac:dyDescent="0.3">
      <c r="A488" s="16" t="s">
        <v>624</v>
      </c>
      <c r="B488" s="17">
        <v>45608</v>
      </c>
      <c r="C488" s="16" t="s">
        <v>76</v>
      </c>
      <c r="D488" s="16" t="s">
        <v>57</v>
      </c>
      <c r="E488" s="16" t="s">
        <v>31</v>
      </c>
      <c r="F488" s="16" t="s">
        <v>95</v>
      </c>
      <c r="G488" s="16" t="s">
        <v>38</v>
      </c>
      <c r="H488" s="16" t="s">
        <v>84</v>
      </c>
      <c r="I488" s="16" t="s">
        <v>93</v>
      </c>
      <c r="J488" s="16">
        <v>16</v>
      </c>
      <c r="K488" s="18">
        <v>55690</v>
      </c>
      <c r="L488" s="18">
        <v>891040</v>
      </c>
      <c r="M488" s="18">
        <v>684868.76</v>
      </c>
      <c r="N488" s="18">
        <v>206171.24</v>
      </c>
      <c r="O488" s="19">
        <v>0.23139999999999999</v>
      </c>
      <c r="P488" s="16" t="s">
        <v>80</v>
      </c>
    </row>
    <row r="489" spans="1:16" x14ac:dyDescent="0.3">
      <c r="A489" s="20" t="s">
        <v>625</v>
      </c>
      <c r="B489" s="21">
        <v>45569</v>
      </c>
      <c r="C489" s="20" t="s">
        <v>107</v>
      </c>
      <c r="D489" s="20" t="s">
        <v>57</v>
      </c>
      <c r="E489" s="20" t="s">
        <v>29</v>
      </c>
      <c r="F489" s="20" t="s">
        <v>135</v>
      </c>
      <c r="G489" s="20" t="s">
        <v>40</v>
      </c>
      <c r="H489" s="20" t="s">
        <v>159</v>
      </c>
      <c r="I489" s="20" t="s">
        <v>117</v>
      </c>
      <c r="J489" s="20">
        <v>19</v>
      </c>
      <c r="K489" s="22">
        <v>1820</v>
      </c>
      <c r="L489" s="22">
        <v>34580</v>
      </c>
      <c r="M489" s="22">
        <v>27080.400000000001</v>
      </c>
      <c r="N489" s="22">
        <v>7499.6</v>
      </c>
      <c r="O489" s="23">
        <v>0.21690000000000001</v>
      </c>
      <c r="P489" s="20" t="s">
        <v>80</v>
      </c>
    </row>
    <row r="490" spans="1:16" x14ac:dyDescent="0.3">
      <c r="A490" s="16" t="s">
        <v>626</v>
      </c>
      <c r="B490" s="17">
        <v>45553</v>
      </c>
      <c r="C490" s="16" t="s">
        <v>202</v>
      </c>
      <c r="D490" s="16" t="s">
        <v>56</v>
      </c>
      <c r="E490" s="16" t="s">
        <v>31</v>
      </c>
      <c r="F490" s="16" t="s">
        <v>91</v>
      </c>
      <c r="G490" s="16" t="s">
        <v>39</v>
      </c>
      <c r="H490" s="16" t="s">
        <v>127</v>
      </c>
      <c r="I490" s="16" t="s">
        <v>93</v>
      </c>
      <c r="J490" s="16">
        <v>14</v>
      </c>
      <c r="K490" s="18">
        <v>2870</v>
      </c>
      <c r="L490" s="18">
        <v>40180</v>
      </c>
      <c r="M490" s="18">
        <v>22186.11</v>
      </c>
      <c r="N490" s="18">
        <v>17993.89</v>
      </c>
      <c r="O490" s="19">
        <v>0.44779999999999998</v>
      </c>
      <c r="P490" s="16" t="s">
        <v>80</v>
      </c>
    </row>
    <row r="491" spans="1:16" x14ac:dyDescent="0.3">
      <c r="A491" s="20" t="s">
        <v>627</v>
      </c>
      <c r="B491" s="21">
        <v>45549</v>
      </c>
      <c r="C491" s="20" t="s">
        <v>202</v>
      </c>
      <c r="D491" s="20" t="s">
        <v>56</v>
      </c>
      <c r="E491" s="20" t="s">
        <v>31</v>
      </c>
      <c r="F491" s="20" t="s">
        <v>91</v>
      </c>
      <c r="G491" s="20" t="s">
        <v>39</v>
      </c>
      <c r="H491" s="20" t="s">
        <v>127</v>
      </c>
      <c r="I491" s="20" t="s">
        <v>112</v>
      </c>
      <c r="J491" s="20">
        <v>15</v>
      </c>
      <c r="K491" s="22">
        <v>3640</v>
      </c>
      <c r="L491" s="22">
        <v>54600</v>
      </c>
      <c r="M491" s="22">
        <v>31036.54</v>
      </c>
      <c r="N491" s="22">
        <v>23563.46</v>
      </c>
      <c r="O491" s="23">
        <v>0.43159999999999998</v>
      </c>
      <c r="P491" s="20" t="s">
        <v>110</v>
      </c>
    </row>
    <row r="492" spans="1:16" x14ac:dyDescent="0.3">
      <c r="A492" s="16" t="s">
        <v>628</v>
      </c>
      <c r="B492" s="17">
        <v>45637</v>
      </c>
      <c r="C492" s="16" t="s">
        <v>175</v>
      </c>
      <c r="D492" s="16" t="s">
        <v>57</v>
      </c>
      <c r="E492" s="16" t="s">
        <v>30</v>
      </c>
      <c r="F492" s="16" t="s">
        <v>158</v>
      </c>
      <c r="G492" s="16" t="s">
        <v>42</v>
      </c>
      <c r="H492" s="16" t="s">
        <v>114</v>
      </c>
      <c r="I492" s="16" t="s">
        <v>109</v>
      </c>
      <c r="J492" s="16">
        <v>9</v>
      </c>
      <c r="K492" s="18">
        <v>5930</v>
      </c>
      <c r="L492" s="18">
        <v>53370</v>
      </c>
      <c r="M492" s="18">
        <v>39028.67</v>
      </c>
      <c r="N492" s="18">
        <v>14341.33</v>
      </c>
      <c r="O492" s="19">
        <v>0.26869999999999999</v>
      </c>
      <c r="P492" s="16" t="s">
        <v>80</v>
      </c>
    </row>
    <row r="493" spans="1:16" x14ac:dyDescent="0.3">
      <c r="A493" s="20" t="s">
        <v>629</v>
      </c>
      <c r="B493" s="21">
        <v>45429</v>
      </c>
      <c r="C493" s="20" t="s">
        <v>13</v>
      </c>
      <c r="D493" s="20" t="s">
        <v>55</v>
      </c>
      <c r="E493" s="20" t="s">
        <v>32</v>
      </c>
      <c r="F493" s="20" t="s">
        <v>139</v>
      </c>
      <c r="G493" s="20" t="s">
        <v>40</v>
      </c>
      <c r="H493" s="20" t="s">
        <v>78</v>
      </c>
      <c r="I493" s="20" t="s">
        <v>146</v>
      </c>
      <c r="J493" s="20">
        <v>7</v>
      </c>
      <c r="K493" s="22">
        <v>1100</v>
      </c>
      <c r="L493" s="22">
        <v>7700</v>
      </c>
      <c r="M493" s="22">
        <v>6376.3</v>
      </c>
      <c r="N493" s="22">
        <v>1323.7</v>
      </c>
      <c r="O493" s="23">
        <v>0.1719</v>
      </c>
      <c r="P493" s="20" t="s">
        <v>80</v>
      </c>
    </row>
    <row r="494" spans="1:16" x14ac:dyDescent="0.3">
      <c r="A494" s="16" t="s">
        <v>630</v>
      </c>
      <c r="B494" s="17">
        <v>45478</v>
      </c>
      <c r="C494" s="16" t="s">
        <v>98</v>
      </c>
      <c r="D494" s="16" t="s">
        <v>56</v>
      </c>
      <c r="E494" s="16" t="s">
        <v>32</v>
      </c>
      <c r="F494" s="16" t="s">
        <v>177</v>
      </c>
      <c r="G494" s="16" t="s">
        <v>41</v>
      </c>
      <c r="H494" s="16" t="s">
        <v>178</v>
      </c>
      <c r="I494" s="16" t="s">
        <v>140</v>
      </c>
      <c r="J494" s="16">
        <v>19</v>
      </c>
      <c r="K494" s="18">
        <v>9160</v>
      </c>
      <c r="L494" s="18">
        <v>174040</v>
      </c>
      <c r="M494" s="18">
        <v>109888.65</v>
      </c>
      <c r="N494" s="18">
        <v>64151.35</v>
      </c>
      <c r="O494" s="19">
        <v>0.36859999999999998</v>
      </c>
      <c r="P494" s="16" t="s">
        <v>80</v>
      </c>
    </row>
    <row r="495" spans="1:16" x14ac:dyDescent="0.3">
      <c r="A495" s="20" t="s">
        <v>631</v>
      </c>
      <c r="B495" s="21">
        <v>45430</v>
      </c>
      <c r="C495" s="20" t="s">
        <v>13</v>
      </c>
      <c r="D495" s="20" t="s">
        <v>55</v>
      </c>
      <c r="E495" s="20" t="s">
        <v>30</v>
      </c>
      <c r="F495" s="20" t="s">
        <v>108</v>
      </c>
      <c r="G495" s="20" t="s">
        <v>41</v>
      </c>
      <c r="H495" s="20" t="s">
        <v>169</v>
      </c>
      <c r="I495" s="20" t="s">
        <v>131</v>
      </c>
      <c r="J495" s="20">
        <v>5</v>
      </c>
      <c r="K495" s="22">
        <v>9850</v>
      </c>
      <c r="L495" s="22">
        <v>49250</v>
      </c>
      <c r="M495" s="22">
        <v>32145.54</v>
      </c>
      <c r="N495" s="22">
        <v>17104.46</v>
      </c>
      <c r="O495" s="23">
        <v>0.3473</v>
      </c>
      <c r="P495" s="20" t="s">
        <v>110</v>
      </c>
    </row>
    <row r="496" spans="1:16" x14ac:dyDescent="0.3">
      <c r="A496" s="16" t="s">
        <v>632</v>
      </c>
      <c r="B496" s="17">
        <v>45507</v>
      </c>
      <c r="C496" s="16" t="s">
        <v>90</v>
      </c>
      <c r="D496" s="16" t="s">
        <v>56</v>
      </c>
      <c r="E496" s="16" t="s">
        <v>32</v>
      </c>
      <c r="F496" s="16" t="s">
        <v>145</v>
      </c>
      <c r="G496" s="16" t="s">
        <v>42</v>
      </c>
      <c r="H496" s="16" t="s">
        <v>187</v>
      </c>
      <c r="I496" s="16" t="s">
        <v>146</v>
      </c>
      <c r="J496" s="16">
        <v>18</v>
      </c>
      <c r="K496" s="18">
        <v>5060</v>
      </c>
      <c r="L496" s="18">
        <v>91080</v>
      </c>
      <c r="M496" s="18">
        <v>60490.76</v>
      </c>
      <c r="N496" s="18">
        <v>30589.24</v>
      </c>
      <c r="O496" s="19">
        <v>0.33589999999999998</v>
      </c>
      <c r="P496" s="16" t="s">
        <v>110</v>
      </c>
    </row>
    <row r="497" spans="1:16" x14ac:dyDescent="0.3">
      <c r="A497" s="20" t="s">
        <v>633</v>
      </c>
      <c r="B497" s="21">
        <v>45342</v>
      </c>
      <c r="C497" s="20" t="s">
        <v>82</v>
      </c>
      <c r="D497" s="20" t="s">
        <v>53</v>
      </c>
      <c r="E497" s="20" t="s">
        <v>30</v>
      </c>
      <c r="F497" s="20" t="s">
        <v>126</v>
      </c>
      <c r="G497" s="20" t="s">
        <v>39</v>
      </c>
      <c r="H497" s="20" t="s">
        <v>137</v>
      </c>
      <c r="I497" s="20" t="s">
        <v>131</v>
      </c>
      <c r="J497" s="20">
        <v>4</v>
      </c>
      <c r="K497" s="22">
        <v>4280</v>
      </c>
      <c r="L497" s="22">
        <v>17120</v>
      </c>
      <c r="M497" s="22">
        <v>9501.85</v>
      </c>
      <c r="N497" s="22">
        <v>7618.15</v>
      </c>
      <c r="O497" s="23">
        <v>0.44500000000000001</v>
      </c>
      <c r="P497" s="20" t="s">
        <v>80</v>
      </c>
    </row>
    <row r="498" spans="1:16" x14ac:dyDescent="0.3">
      <c r="A498" s="16" t="s">
        <v>634</v>
      </c>
      <c r="B498" s="17">
        <v>45476</v>
      </c>
      <c r="C498" s="16" t="s">
        <v>98</v>
      </c>
      <c r="D498" s="16" t="s">
        <v>56</v>
      </c>
      <c r="E498" s="16" t="s">
        <v>31</v>
      </c>
      <c r="F498" s="16" t="s">
        <v>208</v>
      </c>
      <c r="G498" s="16" t="s">
        <v>42</v>
      </c>
      <c r="H498" s="16" t="s">
        <v>114</v>
      </c>
      <c r="I498" s="16" t="s">
        <v>112</v>
      </c>
      <c r="J498" s="16">
        <v>4</v>
      </c>
      <c r="K498" s="18">
        <v>1080</v>
      </c>
      <c r="L498" s="18">
        <v>4320</v>
      </c>
      <c r="M498" s="18">
        <v>3088.33</v>
      </c>
      <c r="N498" s="18">
        <v>1231.67</v>
      </c>
      <c r="O498" s="19">
        <v>0.28510000000000002</v>
      </c>
      <c r="P498" s="16" t="s">
        <v>80</v>
      </c>
    </row>
    <row r="499" spans="1:16" x14ac:dyDescent="0.3">
      <c r="A499" s="20" t="s">
        <v>635</v>
      </c>
      <c r="B499" s="21">
        <v>45602</v>
      </c>
      <c r="C499" s="20" t="s">
        <v>76</v>
      </c>
      <c r="D499" s="20" t="s">
        <v>57</v>
      </c>
      <c r="E499" s="20" t="s">
        <v>30</v>
      </c>
      <c r="F499" s="20" t="s">
        <v>108</v>
      </c>
      <c r="G499" s="20" t="s">
        <v>42</v>
      </c>
      <c r="H499" s="20" t="s">
        <v>114</v>
      </c>
      <c r="I499" s="20" t="s">
        <v>109</v>
      </c>
      <c r="J499" s="20">
        <v>17</v>
      </c>
      <c r="K499" s="22">
        <v>5840</v>
      </c>
      <c r="L499" s="22">
        <v>99280</v>
      </c>
      <c r="M499" s="22">
        <v>69620.160000000003</v>
      </c>
      <c r="N499" s="22">
        <v>29659.84</v>
      </c>
      <c r="O499" s="23">
        <v>0.29870000000000002</v>
      </c>
      <c r="P499" s="20" t="s">
        <v>80</v>
      </c>
    </row>
    <row r="500" spans="1:16" x14ac:dyDescent="0.3">
      <c r="A500" s="16" t="s">
        <v>636</v>
      </c>
      <c r="B500" s="17">
        <v>45332</v>
      </c>
      <c r="C500" s="16" t="s">
        <v>82</v>
      </c>
      <c r="D500" s="16" t="s">
        <v>53</v>
      </c>
      <c r="E500" s="16" t="s">
        <v>32</v>
      </c>
      <c r="F500" s="16" t="s">
        <v>139</v>
      </c>
      <c r="G500" s="16" t="s">
        <v>40</v>
      </c>
      <c r="H500" s="16" t="s">
        <v>78</v>
      </c>
      <c r="I500" s="16" t="s">
        <v>146</v>
      </c>
      <c r="J500" s="16">
        <v>11</v>
      </c>
      <c r="K500" s="18">
        <v>1760</v>
      </c>
      <c r="L500" s="18">
        <v>19360</v>
      </c>
      <c r="M500" s="18">
        <v>16026.56</v>
      </c>
      <c r="N500" s="18">
        <v>3333.44</v>
      </c>
      <c r="O500" s="19">
        <v>0.17219999999999999</v>
      </c>
      <c r="P500" s="16" t="s">
        <v>80</v>
      </c>
    </row>
    <row r="501" spans="1:16" x14ac:dyDescent="0.3">
      <c r="A501" s="20" t="s">
        <v>637</v>
      </c>
      <c r="B501" s="21">
        <v>45499</v>
      </c>
      <c r="C501" s="20" t="s">
        <v>98</v>
      </c>
      <c r="D501" s="20" t="s">
        <v>56</v>
      </c>
      <c r="E501" s="20" t="s">
        <v>29</v>
      </c>
      <c r="F501" s="20" t="s">
        <v>77</v>
      </c>
      <c r="G501" s="20" t="s">
        <v>39</v>
      </c>
      <c r="H501" s="20" t="s">
        <v>105</v>
      </c>
      <c r="I501" s="20" t="s">
        <v>117</v>
      </c>
      <c r="J501" s="20">
        <v>10</v>
      </c>
      <c r="K501" s="22">
        <v>1910</v>
      </c>
      <c r="L501" s="22">
        <v>19100</v>
      </c>
      <c r="M501" s="22">
        <v>10103.07</v>
      </c>
      <c r="N501" s="22">
        <v>8996.93</v>
      </c>
      <c r="O501" s="23">
        <v>0.47099999999999997</v>
      </c>
      <c r="P501" s="20" t="s">
        <v>80</v>
      </c>
    </row>
  </sheetData>
  <autoFilter ref="A1:P5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2B788"/>
  </sheetPr>
  <dimension ref="A1:I16"/>
  <sheetViews>
    <sheetView zoomScaleNormal="100" workbookViewId="0">
      <selection activeCell="E25" sqref="E25"/>
    </sheetView>
  </sheetViews>
  <sheetFormatPr defaultColWidth="8.6640625" defaultRowHeight="14.4" x14ac:dyDescent="0.3"/>
  <cols>
    <col min="1" max="1" width="14" customWidth="1"/>
    <col min="2" max="2" width="9" customWidth="1"/>
    <col min="3" max="3" width="12" customWidth="1"/>
    <col min="4" max="5" width="16" customWidth="1"/>
    <col min="6" max="6" width="18" customWidth="1"/>
    <col min="7" max="7" width="10" customWidth="1"/>
    <col min="8" max="8" width="13" customWidth="1"/>
    <col min="9" max="9" width="9" customWidth="1"/>
  </cols>
  <sheetData>
    <row r="1" spans="1:9" ht="36" customHeight="1" x14ac:dyDescent="0.3">
      <c r="A1" s="102" t="s">
        <v>638</v>
      </c>
      <c r="B1" s="102"/>
      <c r="C1" s="102"/>
      <c r="D1" s="102"/>
      <c r="E1" s="102"/>
      <c r="F1" s="102"/>
      <c r="G1" s="102"/>
      <c r="H1" s="102"/>
      <c r="I1" s="102"/>
    </row>
    <row r="2" spans="1:9" x14ac:dyDescent="0.3">
      <c r="A2" s="103" t="s">
        <v>639</v>
      </c>
      <c r="B2" s="103"/>
      <c r="C2" s="103"/>
      <c r="D2" s="103"/>
      <c r="E2" s="103"/>
      <c r="F2" s="103"/>
      <c r="G2" s="103"/>
      <c r="H2" s="103"/>
      <c r="I2" s="103"/>
    </row>
    <row r="3" spans="1:9" x14ac:dyDescent="0.3">
      <c r="A3" s="29" t="s">
        <v>66</v>
      </c>
      <c r="B3" s="29" t="s">
        <v>24</v>
      </c>
      <c r="C3" s="29" t="s">
        <v>640</v>
      </c>
      <c r="D3" s="29" t="s">
        <v>23</v>
      </c>
      <c r="E3" s="29" t="s">
        <v>641</v>
      </c>
      <c r="F3" s="29" t="s">
        <v>51</v>
      </c>
      <c r="G3" s="29" t="s">
        <v>25</v>
      </c>
      <c r="H3" s="29" t="s">
        <v>642</v>
      </c>
      <c r="I3" s="29" t="s">
        <v>28</v>
      </c>
    </row>
    <row r="4" spans="1:9" x14ac:dyDescent="0.3">
      <c r="A4" s="51" t="s">
        <v>116</v>
      </c>
      <c r="B4" s="52">
        <f>COUNTIF(Sales_Data!C:C,A4)</f>
        <v>32</v>
      </c>
      <c r="C4" s="30">
        <f>SUMIF(Sales_Data!C:C,A4,Sales_Data!J:J)</f>
        <v>366</v>
      </c>
      <c r="D4" s="31">
        <f>SUMIF(Sales_Data!C:C,A4,Sales_Data!L:L)</f>
        <v>6580400</v>
      </c>
      <c r="E4" s="31">
        <f>SUMIF(Sales_Data!C:C,A4,Sales_Data!M:M)</f>
        <v>4805969.25</v>
      </c>
      <c r="F4" s="31">
        <f t="shared" ref="F4:F15" si="0">D4-E4</f>
        <v>1774430.75</v>
      </c>
      <c r="G4" s="32">
        <f t="shared" ref="G4:G15" si="1">IFERROR(F4/D4,0)</f>
        <v>0.26965393441128199</v>
      </c>
      <c r="H4" s="30" t="s">
        <v>643</v>
      </c>
      <c r="I4" s="30">
        <f>COUNTIFS(Sales_Data!C:C,A4,Sales_Data!P:P,"Yes")</f>
        <v>2</v>
      </c>
    </row>
    <row r="5" spans="1:9" x14ac:dyDescent="0.3">
      <c r="A5" s="51" t="s">
        <v>82</v>
      </c>
      <c r="B5" s="53">
        <f>COUNTIF(Sales_Data!C:C,A5)</f>
        <v>54</v>
      </c>
      <c r="C5" s="34">
        <f>SUMIF(Sales_Data!C:C,A5,Sales_Data!J:J)</f>
        <v>565</v>
      </c>
      <c r="D5" s="35">
        <f>SUMIF(Sales_Data!C:C,A5,Sales_Data!L:L)</f>
        <v>8919190</v>
      </c>
      <c r="E5" s="35">
        <f>SUMIF(Sales_Data!C:C,A5,Sales_Data!M:M)</f>
        <v>6377812.2899999991</v>
      </c>
      <c r="F5" s="35">
        <f t="shared" si="0"/>
        <v>2541377.7100000009</v>
      </c>
      <c r="G5" s="36">
        <f t="shared" si="1"/>
        <v>0.28493368904575428</v>
      </c>
      <c r="H5" s="36">
        <f t="shared" ref="H5:H15" si="2">IFERROR((D5-D4)/D4,0)</f>
        <v>0.35541760379308251</v>
      </c>
      <c r="I5" s="34">
        <f>COUNTIFS(Sales_Data!C:C,A5,Sales_Data!P:P,"Yes")</f>
        <v>5</v>
      </c>
    </row>
    <row r="6" spans="1:9" x14ac:dyDescent="0.3">
      <c r="A6" s="51" t="s">
        <v>122</v>
      </c>
      <c r="B6" s="52">
        <f>COUNTIF(Sales_Data!C:C,A6)</f>
        <v>38</v>
      </c>
      <c r="C6" s="30">
        <f>SUMIF(Sales_Data!C:C,A6,Sales_Data!J:J)</f>
        <v>466</v>
      </c>
      <c r="D6" s="31">
        <f>SUMIF(Sales_Data!C:C,A6,Sales_Data!L:L)</f>
        <v>5759980</v>
      </c>
      <c r="E6" s="31">
        <f>SUMIF(Sales_Data!C:C,A6,Sales_Data!M:M)</f>
        <v>4022515.540000001</v>
      </c>
      <c r="F6" s="31">
        <f t="shared" si="0"/>
        <v>1737464.459999999</v>
      </c>
      <c r="G6" s="32">
        <f t="shared" si="1"/>
        <v>0.30164418279230121</v>
      </c>
      <c r="H6" s="32">
        <f t="shared" si="2"/>
        <v>-0.35420368890000103</v>
      </c>
      <c r="I6" s="30">
        <f>COUNTIFS(Sales_Data!C:C,A6,Sales_Data!P:P,"Yes")</f>
        <v>2</v>
      </c>
    </row>
    <row r="7" spans="1:9" x14ac:dyDescent="0.3">
      <c r="A7" s="51" t="s">
        <v>142</v>
      </c>
      <c r="B7" s="53">
        <f>COUNTIF(Sales_Data!C:C,A7)</f>
        <v>33</v>
      </c>
      <c r="C7" s="34">
        <f>SUMIF(Sales_Data!C:C,A7,Sales_Data!J:J)</f>
        <v>367</v>
      </c>
      <c r="D7" s="35">
        <f>SUMIF(Sales_Data!C:C,A7,Sales_Data!L:L)</f>
        <v>5818470</v>
      </c>
      <c r="E7" s="35">
        <f>SUMIF(Sales_Data!C:C,A7,Sales_Data!M:M)</f>
        <v>4340429.01</v>
      </c>
      <c r="F7" s="35">
        <f t="shared" si="0"/>
        <v>1478040.9900000002</v>
      </c>
      <c r="G7" s="36">
        <f t="shared" si="1"/>
        <v>0.25402571294515575</v>
      </c>
      <c r="H7" s="36">
        <f t="shared" si="2"/>
        <v>1.0154549147740097E-2</v>
      </c>
      <c r="I7" s="34">
        <f>COUNTIFS(Sales_Data!C:C,A7,Sales_Data!P:P,"Yes")</f>
        <v>1</v>
      </c>
    </row>
    <row r="8" spans="1:9" x14ac:dyDescent="0.3">
      <c r="A8" s="51" t="s">
        <v>13</v>
      </c>
      <c r="B8" s="52">
        <f>COUNTIF(Sales_Data!C:C,A8)</f>
        <v>48</v>
      </c>
      <c r="C8" s="30">
        <f>SUMIF(Sales_Data!C:C,A8,Sales_Data!J:J)</f>
        <v>497</v>
      </c>
      <c r="D8" s="31">
        <f>SUMIF(Sales_Data!C:C,A8,Sales_Data!L:L)</f>
        <v>9601970</v>
      </c>
      <c r="E8" s="31">
        <f>SUMIF(Sales_Data!C:C,A8,Sales_Data!M:M)</f>
        <v>6825995.629999999</v>
      </c>
      <c r="F8" s="31">
        <f t="shared" si="0"/>
        <v>2775974.370000001</v>
      </c>
      <c r="G8" s="32">
        <f t="shared" si="1"/>
        <v>0.28910467018747205</v>
      </c>
      <c r="H8" s="32">
        <f t="shared" si="2"/>
        <v>0.65025685446517723</v>
      </c>
      <c r="I8" s="30">
        <f>COUNTIFS(Sales_Data!C:C,A8,Sales_Data!P:P,"Yes")</f>
        <v>3</v>
      </c>
    </row>
    <row r="9" spans="1:9" x14ac:dyDescent="0.3">
      <c r="A9" s="51" t="s">
        <v>125</v>
      </c>
      <c r="B9" s="53">
        <f>COUNTIF(Sales_Data!C:C,A9)</f>
        <v>37</v>
      </c>
      <c r="C9" s="34">
        <f>SUMIF(Sales_Data!C:C,A9,Sales_Data!J:J)</f>
        <v>382</v>
      </c>
      <c r="D9" s="35">
        <f>SUMIF(Sales_Data!C:C,A9,Sales_Data!L:L)</f>
        <v>6869620</v>
      </c>
      <c r="E9" s="35">
        <f>SUMIF(Sales_Data!C:C,A9,Sales_Data!M:M)</f>
        <v>5081412.2100000009</v>
      </c>
      <c r="F9" s="35">
        <f t="shared" si="0"/>
        <v>1788207.7899999991</v>
      </c>
      <c r="G9" s="36">
        <f t="shared" si="1"/>
        <v>0.26030665306086787</v>
      </c>
      <c r="H9" s="36">
        <f t="shared" si="2"/>
        <v>-0.28456139729659641</v>
      </c>
      <c r="I9" s="34">
        <f>COUNTIFS(Sales_Data!C:C,A9,Sales_Data!P:P,"Yes")</f>
        <v>0</v>
      </c>
    </row>
    <row r="10" spans="1:9" x14ac:dyDescent="0.3">
      <c r="A10" s="51" t="s">
        <v>98</v>
      </c>
      <c r="B10" s="52">
        <f>COUNTIF(Sales_Data!C:C,A10)</f>
        <v>48</v>
      </c>
      <c r="C10" s="30">
        <f>SUMIF(Sales_Data!C:C,A10,Sales_Data!J:J)</f>
        <v>502</v>
      </c>
      <c r="D10" s="31">
        <f>SUMIF(Sales_Data!C:C,A10,Sales_Data!L:L)</f>
        <v>6966520</v>
      </c>
      <c r="E10" s="31">
        <f>SUMIF(Sales_Data!C:C,A10,Sales_Data!M:M)</f>
        <v>4971156.87</v>
      </c>
      <c r="F10" s="31">
        <f t="shared" si="0"/>
        <v>1995363.13</v>
      </c>
      <c r="G10" s="32">
        <f t="shared" si="1"/>
        <v>0.28642179021950698</v>
      </c>
      <c r="H10" s="32">
        <f t="shared" si="2"/>
        <v>1.4105583714965311E-2</v>
      </c>
      <c r="I10" s="30">
        <f>COUNTIFS(Sales_Data!C:C,A10,Sales_Data!P:P,"Yes")</f>
        <v>0</v>
      </c>
    </row>
    <row r="11" spans="1:9" x14ac:dyDescent="0.3">
      <c r="A11" s="51" t="s">
        <v>90</v>
      </c>
      <c r="B11" s="53">
        <f>COUNTIF(Sales_Data!C:C,A11)</f>
        <v>34</v>
      </c>
      <c r="C11" s="34">
        <f>SUMIF(Sales_Data!C:C,A11,Sales_Data!J:J)</f>
        <v>362</v>
      </c>
      <c r="D11" s="35">
        <f>SUMIF(Sales_Data!C:C,A11,Sales_Data!L:L)</f>
        <v>8013470</v>
      </c>
      <c r="E11" s="35">
        <f>SUMIF(Sales_Data!C:C,A11,Sales_Data!M:M)</f>
        <v>5942332.4999999981</v>
      </c>
      <c r="F11" s="35">
        <f t="shared" si="0"/>
        <v>2071137.5000000019</v>
      </c>
      <c r="G11" s="36">
        <f t="shared" si="1"/>
        <v>0.25845701050855646</v>
      </c>
      <c r="H11" s="36">
        <f t="shared" si="2"/>
        <v>0.15028306816028664</v>
      </c>
      <c r="I11" s="34">
        <f>COUNTIFS(Sales_Data!C:C,A11,Sales_Data!P:P,"Yes")</f>
        <v>1</v>
      </c>
    </row>
    <row r="12" spans="1:9" x14ac:dyDescent="0.3">
      <c r="A12" s="51" t="s">
        <v>202</v>
      </c>
      <c r="B12" s="52">
        <f>COUNTIF(Sales_Data!C:C,A12)</f>
        <v>27</v>
      </c>
      <c r="C12" s="30">
        <f>SUMIF(Sales_Data!C:C,A12,Sales_Data!J:J)</f>
        <v>268</v>
      </c>
      <c r="D12" s="31">
        <f>SUMIF(Sales_Data!C:C,A12,Sales_Data!L:L)</f>
        <v>5430530</v>
      </c>
      <c r="E12" s="31">
        <f>SUMIF(Sales_Data!C:C,A12,Sales_Data!M:M)</f>
        <v>4046659.41</v>
      </c>
      <c r="F12" s="31">
        <f t="shared" si="0"/>
        <v>1383870.5899999999</v>
      </c>
      <c r="G12" s="32">
        <f t="shared" si="1"/>
        <v>0.25483158918190302</v>
      </c>
      <c r="H12" s="32">
        <f t="shared" si="2"/>
        <v>-0.32232478564217498</v>
      </c>
      <c r="I12" s="30">
        <f>COUNTIFS(Sales_Data!C:C,A12,Sales_Data!P:P,"Yes")</f>
        <v>1</v>
      </c>
    </row>
    <row r="13" spans="1:9" x14ac:dyDescent="0.3">
      <c r="A13" s="51" t="s">
        <v>107</v>
      </c>
      <c r="B13" s="53">
        <f>COUNTIF(Sales_Data!C:C,A13)</f>
        <v>59</v>
      </c>
      <c r="C13" s="34">
        <f>SUMIF(Sales_Data!C:C,A13,Sales_Data!J:J)</f>
        <v>608</v>
      </c>
      <c r="D13" s="35">
        <f>SUMIF(Sales_Data!C:C,A13,Sales_Data!L:L)</f>
        <v>8198170</v>
      </c>
      <c r="E13" s="35">
        <f>SUMIF(Sales_Data!C:C,A13,Sales_Data!M:M)</f>
        <v>5816088.3899999987</v>
      </c>
      <c r="F13" s="35">
        <f t="shared" si="0"/>
        <v>2382081.6100000013</v>
      </c>
      <c r="G13" s="36">
        <f t="shared" si="1"/>
        <v>0.29056260238565451</v>
      </c>
      <c r="H13" s="36">
        <f t="shared" si="2"/>
        <v>0.50964454666487435</v>
      </c>
      <c r="I13" s="34">
        <f>COUNTIFS(Sales_Data!C:C,A13,Sales_Data!P:P,"Yes")</f>
        <v>3</v>
      </c>
    </row>
    <row r="14" spans="1:9" x14ac:dyDescent="0.3">
      <c r="A14" s="51" t="s">
        <v>76</v>
      </c>
      <c r="B14" s="52">
        <f>COUNTIF(Sales_Data!C:C,A14)</f>
        <v>49</v>
      </c>
      <c r="C14" s="30">
        <f>SUMIF(Sales_Data!C:C,A14,Sales_Data!J:J)</f>
        <v>542</v>
      </c>
      <c r="D14" s="31">
        <f>SUMIF(Sales_Data!C:C,A14,Sales_Data!L:L)</f>
        <v>10027570</v>
      </c>
      <c r="E14" s="31">
        <f>SUMIF(Sales_Data!C:C,A14,Sales_Data!M:M)</f>
        <v>7428088.4600000009</v>
      </c>
      <c r="F14" s="31">
        <f t="shared" si="0"/>
        <v>2599481.5399999991</v>
      </c>
      <c r="G14" s="32">
        <f t="shared" si="1"/>
        <v>0.25923344738555792</v>
      </c>
      <c r="H14" s="32">
        <f t="shared" si="2"/>
        <v>0.22314736093542828</v>
      </c>
      <c r="I14" s="30">
        <f>COUNTIFS(Sales_Data!C:C,A14,Sales_Data!P:P,"Yes")</f>
        <v>0</v>
      </c>
    </row>
    <row r="15" spans="1:9" x14ac:dyDescent="0.3">
      <c r="A15" s="51" t="s">
        <v>175</v>
      </c>
      <c r="B15" s="53">
        <f>COUNTIF(Sales_Data!C:C,A15)</f>
        <v>41</v>
      </c>
      <c r="C15" s="34">
        <f>SUMIF(Sales_Data!C:C,A15,Sales_Data!J:J)</f>
        <v>429</v>
      </c>
      <c r="D15" s="35">
        <f>SUMIF(Sales_Data!C:C,A15,Sales_Data!L:L)</f>
        <v>5992600</v>
      </c>
      <c r="E15" s="35">
        <f>SUMIF(Sales_Data!C:C,A15,Sales_Data!M:M)</f>
        <v>4061243.7600000007</v>
      </c>
      <c r="F15" s="35">
        <f t="shared" si="0"/>
        <v>1931356.2399999993</v>
      </c>
      <c r="G15" s="36">
        <f t="shared" si="1"/>
        <v>0.32229019791075647</v>
      </c>
      <c r="H15" s="36">
        <f t="shared" si="2"/>
        <v>-0.40238761733899636</v>
      </c>
      <c r="I15" s="34">
        <f>COUNTIFS(Sales_Data!C:C,A15,Sales_Data!P:P,"Yes")</f>
        <v>2</v>
      </c>
    </row>
    <row r="16" spans="1:9" x14ac:dyDescent="0.3">
      <c r="A16" s="54" t="s">
        <v>644</v>
      </c>
      <c r="B16" s="54">
        <f>SUM(B4:B15)</f>
        <v>500</v>
      </c>
      <c r="C16" s="54">
        <f>SUM(C4:C15)</f>
        <v>5354</v>
      </c>
      <c r="D16" s="55">
        <f>SUM(D4:D15)</f>
        <v>88178490</v>
      </c>
      <c r="E16" s="55">
        <f>SUM(E4:E15)</f>
        <v>63719703.319999993</v>
      </c>
      <c r="F16" s="55">
        <f>SUM(F4:F15)</f>
        <v>24458786.679999996</v>
      </c>
      <c r="G16" s="56">
        <f>AVERAGE(G4:G15)</f>
        <v>0.27762212333623076</v>
      </c>
      <c r="H16" s="54" t="s">
        <v>54</v>
      </c>
      <c r="I16" s="54">
        <f>SUM(I4:I15)</f>
        <v>20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4C69D"/>
  </sheetPr>
  <dimension ref="A1:J16"/>
  <sheetViews>
    <sheetView zoomScaleNormal="100" workbookViewId="0">
      <selection activeCell="H20" sqref="H20"/>
    </sheetView>
  </sheetViews>
  <sheetFormatPr defaultColWidth="8.6640625" defaultRowHeight="14.4" x14ac:dyDescent="0.3"/>
  <cols>
    <col min="1" max="1" width="14" customWidth="1"/>
    <col min="2" max="2" width="9" customWidth="1"/>
    <col min="3" max="3" width="12" customWidth="1"/>
    <col min="4" max="5" width="16" customWidth="1"/>
    <col min="6" max="6" width="18" customWidth="1"/>
    <col min="7" max="7" width="13.5546875" customWidth="1"/>
    <col min="8" max="8" width="16.109375" customWidth="1"/>
    <col min="9" max="9" width="7" customWidth="1"/>
    <col min="10" max="10" width="9" customWidth="1"/>
  </cols>
  <sheetData>
    <row r="1" spans="1:10" ht="36" customHeight="1" x14ac:dyDescent="0.3">
      <c r="A1" s="102" t="s">
        <v>645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x14ac:dyDescent="0.3">
      <c r="A2" s="29" t="s">
        <v>22</v>
      </c>
      <c r="B2" s="29" t="s">
        <v>24</v>
      </c>
      <c r="C2" s="29" t="s">
        <v>640</v>
      </c>
      <c r="D2" s="29" t="s">
        <v>23</v>
      </c>
      <c r="E2" s="29" t="s">
        <v>641</v>
      </c>
      <c r="F2" s="29" t="s">
        <v>51</v>
      </c>
      <c r="G2" s="29" t="s">
        <v>25</v>
      </c>
      <c r="H2" s="29" t="s">
        <v>646</v>
      </c>
      <c r="I2" s="29" t="s">
        <v>27</v>
      </c>
      <c r="J2" s="29" t="s">
        <v>28</v>
      </c>
    </row>
    <row r="3" spans="1:10" x14ac:dyDescent="0.3">
      <c r="A3" s="38" t="s">
        <v>29</v>
      </c>
      <c r="B3" s="34">
        <f>COUNTIF(Sales_Data!E:E,A3)</f>
        <v>94</v>
      </c>
      <c r="C3" s="34">
        <f>SUMIF(Sales_Data!E:E,A3,Sales_Data!J:J)</f>
        <v>986</v>
      </c>
      <c r="D3" s="35">
        <f>SUMIF(Sales_Data!E:E,A3,Sales_Data!L:L)</f>
        <v>16101730</v>
      </c>
      <c r="E3" s="35">
        <f>SUMIF(Sales_Data!E:E,A3,Sales_Data!M:M)</f>
        <v>11537336.85</v>
      </c>
      <c r="F3" s="35">
        <f>D3-E3</f>
        <v>4564393.1500000004</v>
      </c>
      <c r="G3" s="36">
        <f>IFERROR(F3/D3,0)</f>
        <v>0.2834722200657942</v>
      </c>
      <c r="H3" s="36">
        <f>IFERROR(D3/SUM($D$3:$D$7),0)</f>
        <v>0.18260383002702812</v>
      </c>
      <c r="I3" s="34">
        <f>RANK(D3,$D$3:$D$7,0)</f>
        <v>4</v>
      </c>
      <c r="J3" s="34">
        <f>COUNTIFS(Sales_Data!E:E,A3,Sales_Data!P:P,"Yes")</f>
        <v>5</v>
      </c>
    </row>
    <row r="4" spans="1:10" x14ac:dyDescent="0.3">
      <c r="A4" s="38" t="s">
        <v>30</v>
      </c>
      <c r="B4" s="30">
        <f>COUNTIF(Sales_Data!E:E,A4)</f>
        <v>114</v>
      </c>
      <c r="C4" s="30">
        <f>SUMIF(Sales_Data!E:E,A4,Sales_Data!J:J)</f>
        <v>1135</v>
      </c>
      <c r="D4" s="31">
        <f>SUMIF(Sales_Data!E:E,A4,Sales_Data!L:L)</f>
        <v>20329410</v>
      </c>
      <c r="E4" s="31">
        <f>SUMIF(Sales_Data!E:E,A4,Sales_Data!M:M)</f>
        <v>14988475.840000002</v>
      </c>
      <c r="F4" s="31">
        <f>D4-E4</f>
        <v>5340934.1599999983</v>
      </c>
      <c r="G4" s="32">
        <f>IFERROR(F4/D4,0)</f>
        <v>0.26271958507403798</v>
      </c>
      <c r="H4" s="32">
        <f>IFERROR(D4/SUM($D$3:$D$7),0)</f>
        <v>0.2305484024505296</v>
      </c>
      <c r="I4" s="30">
        <f>RANK(D4,$D$3:$D$7,0)</f>
        <v>1</v>
      </c>
      <c r="J4" s="30">
        <f>COUNTIFS(Sales_Data!E:E,A4,Sales_Data!P:P,"Yes")</f>
        <v>7</v>
      </c>
    </row>
    <row r="5" spans="1:10" x14ac:dyDescent="0.3">
      <c r="A5" s="38" t="s">
        <v>31</v>
      </c>
      <c r="B5" s="34">
        <f>COUNTIF(Sales_Data!E:E,A5)</f>
        <v>92</v>
      </c>
      <c r="C5" s="34">
        <f>SUMIF(Sales_Data!E:E,A5,Sales_Data!J:J)</f>
        <v>1034</v>
      </c>
      <c r="D5" s="35">
        <f>SUMIF(Sales_Data!E:E,A5,Sales_Data!L:L)</f>
        <v>18011490</v>
      </c>
      <c r="E5" s="35">
        <f>SUMIF(Sales_Data!E:E,A5,Sales_Data!M:M)</f>
        <v>13085105.869999999</v>
      </c>
      <c r="F5" s="35">
        <f>D5-E5</f>
        <v>4926384.1300000008</v>
      </c>
      <c r="G5" s="36">
        <f>IFERROR(F5/D5,0)</f>
        <v>0.27351341449263777</v>
      </c>
      <c r="H5" s="36">
        <f>IFERROR(D5/SUM($D$3:$D$7),0)</f>
        <v>0.20426171960985043</v>
      </c>
      <c r="I5" s="34">
        <f>RANK(D5,$D$3:$D$7,0)</f>
        <v>3</v>
      </c>
      <c r="J5" s="34">
        <f>COUNTIFS(Sales_Data!E:E,A5,Sales_Data!P:P,"Yes")</f>
        <v>3</v>
      </c>
    </row>
    <row r="6" spans="1:10" x14ac:dyDescent="0.3">
      <c r="A6" s="38" t="s">
        <v>32</v>
      </c>
      <c r="B6" s="30">
        <f>COUNTIF(Sales_Data!E:E,A6)</f>
        <v>89</v>
      </c>
      <c r="C6" s="30">
        <f>SUMIF(Sales_Data!E:E,A6,Sales_Data!J:J)</f>
        <v>1025</v>
      </c>
      <c r="D6" s="31">
        <f>SUMIF(Sales_Data!E:E,A6,Sales_Data!L:L)</f>
        <v>13755920</v>
      </c>
      <c r="E6" s="31">
        <f>SUMIF(Sales_Data!E:E,A6,Sales_Data!M:M)</f>
        <v>9712642.8800000008</v>
      </c>
      <c r="F6" s="31">
        <f>D6-E6</f>
        <v>4043277.1199999992</v>
      </c>
      <c r="G6" s="32">
        <f>IFERROR(F6/D6,0)</f>
        <v>0.293929967606674</v>
      </c>
      <c r="H6" s="32">
        <f>IFERROR(D6/SUM($D$3:$D$7),0)</f>
        <v>0.15600085689832066</v>
      </c>
      <c r="I6" s="30">
        <f>RANK(D6,$D$3:$D$7,0)</f>
        <v>5</v>
      </c>
      <c r="J6" s="30">
        <f>COUNTIFS(Sales_Data!E:E,A6,Sales_Data!P:P,"Yes")</f>
        <v>2</v>
      </c>
    </row>
    <row r="7" spans="1:10" x14ac:dyDescent="0.3">
      <c r="A7" s="38" t="s">
        <v>33</v>
      </c>
      <c r="B7" s="34">
        <f>COUNTIF(Sales_Data!E:E,A7)</f>
        <v>111</v>
      </c>
      <c r="C7" s="34">
        <f>SUMIF(Sales_Data!E:E,A7,Sales_Data!J:J)</f>
        <v>1174</v>
      </c>
      <c r="D7" s="35">
        <f>SUMIF(Sales_Data!E:E,A7,Sales_Data!L:L)</f>
        <v>19979940</v>
      </c>
      <c r="E7" s="35">
        <f>SUMIF(Sales_Data!E:E,A7,Sales_Data!M:M)</f>
        <v>14396141.880000003</v>
      </c>
      <c r="F7" s="35">
        <f>D7-E7</f>
        <v>5583798.1199999973</v>
      </c>
      <c r="G7" s="36">
        <f>IFERROR(F7/D7,0)</f>
        <v>0.279470214625269</v>
      </c>
      <c r="H7" s="36">
        <f>IFERROR(D7/SUM($D$3:$D$7),0)</f>
        <v>0.22658519101427116</v>
      </c>
      <c r="I7" s="34">
        <f>RANK(D7,$D$3:$D$7,0)</f>
        <v>2</v>
      </c>
      <c r="J7" s="34">
        <f>COUNTIFS(Sales_Data!E:E,A7,Sales_Data!P:P,"Yes")</f>
        <v>3</v>
      </c>
    </row>
    <row r="8" spans="1:10" x14ac:dyDescent="0.3">
      <c r="A8" s="39" t="s">
        <v>647</v>
      </c>
      <c r="B8" s="40">
        <f>SUM(B3:B7)</f>
        <v>500</v>
      </c>
      <c r="C8" s="40">
        <f>SUM(C3:C7)</f>
        <v>5354</v>
      </c>
      <c r="D8" s="41">
        <f>SUM(D3:D7)</f>
        <v>88178490</v>
      </c>
      <c r="E8" s="41">
        <f>SUM(E3:E7)</f>
        <v>63719703.320000008</v>
      </c>
      <c r="F8" s="41">
        <f>SUM(F3:F7)</f>
        <v>24458786.679999996</v>
      </c>
      <c r="G8" s="42">
        <f>AVERAGE(G3:G7)</f>
        <v>0.27862108037288263</v>
      </c>
      <c r="H8" s="43">
        <f>SUM(H3:H7)</f>
        <v>1</v>
      </c>
      <c r="I8" s="44"/>
      <c r="J8" s="40">
        <f>SUM(J3:J7)</f>
        <v>20</v>
      </c>
    </row>
    <row r="9" spans="1:10" ht="15" thickBot="1" x14ac:dyDescent="0.35"/>
    <row r="10" spans="1:10" ht="16.2" thickBot="1" x14ac:dyDescent="0.35">
      <c r="A10" s="104" t="s">
        <v>648</v>
      </c>
      <c r="B10" s="105"/>
      <c r="C10" s="105"/>
      <c r="D10" s="105"/>
      <c r="E10" s="105"/>
      <c r="F10" s="105"/>
      <c r="G10" s="106"/>
    </row>
    <row r="11" spans="1:10" x14ac:dyDescent="0.3">
      <c r="A11" s="37" t="s">
        <v>35</v>
      </c>
      <c r="B11" s="37" t="s">
        <v>24</v>
      </c>
      <c r="C11" s="37" t="s">
        <v>640</v>
      </c>
      <c r="D11" s="37" t="s">
        <v>23</v>
      </c>
      <c r="E11" s="37" t="s">
        <v>51</v>
      </c>
      <c r="F11" s="37" t="s">
        <v>25</v>
      </c>
      <c r="G11" s="37" t="s">
        <v>649</v>
      </c>
    </row>
    <row r="12" spans="1:10" x14ac:dyDescent="0.3">
      <c r="A12" s="30" t="s">
        <v>38</v>
      </c>
      <c r="B12" s="30">
        <f>COUNTIF(Sales_Data!G:G,A12)</f>
        <v>91</v>
      </c>
      <c r="C12" s="30">
        <f>SUMIF(Sales_Data!G:G,A12,Sales_Data!J:J)</f>
        <v>1033</v>
      </c>
      <c r="D12" s="31">
        <f>SUMIF(Sales_Data!G:G,A12,Sales_Data!L:L)</f>
        <v>46970140</v>
      </c>
      <c r="E12" s="31">
        <f>SUMIF(Sales_Data!G:G,A12,Sales_Data!N:N)</f>
        <v>10494357.549999997</v>
      </c>
      <c r="F12" s="32">
        <f>IFERROR(E12/D12,0)</f>
        <v>0.22342615010302283</v>
      </c>
      <c r="G12" s="32">
        <f>IFERROR(COUNTIFS(Sales_Data!G:G,A12,Sales_Data!P:P,"Yes")/B12,0)</f>
        <v>6.5934065934065936E-2</v>
      </c>
    </row>
    <row r="13" spans="1:10" x14ac:dyDescent="0.3">
      <c r="A13" s="33" t="s">
        <v>39</v>
      </c>
      <c r="B13" s="34">
        <f>COUNTIF(Sales_Data!G:G,A13)</f>
        <v>86</v>
      </c>
      <c r="C13" s="34">
        <f>SUMIF(Sales_Data!G:G,A13,Sales_Data!J:J)</f>
        <v>969</v>
      </c>
      <c r="D13" s="35">
        <f>SUMIF(Sales_Data!G:G,A13,Sales_Data!L:L)</f>
        <v>2941370</v>
      </c>
      <c r="E13" s="35">
        <f>SUMIF(Sales_Data!G:G,A13,Sales_Data!N:N)</f>
        <v>1319147.7599999995</v>
      </c>
      <c r="F13" s="36">
        <f>IFERROR(E13/D13,0)</f>
        <v>0.44848072836807323</v>
      </c>
      <c r="G13" s="36">
        <f>IFERROR(COUNTIFS(Sales_Data!G:G,A13,Sales_Data!P:P,"Yes")/B13,0)</f>
        <v>2.3255813953488372E-2</v>
      </c>
    </row>
    <row r="14" spans="1:10" x14ac:dyDescent="0.3">
      <c r="A14" s="30" t="s">
        <v>40</v>
      </c>
      <c r="B14" s="30">
        <f>COUNTIF(Sales_Data!G:G,A14)</f>
        <v>97</v>
      </c>
      <c r="C14" s="30">
        <f>SUMIF(Sales_Data!G:G,A14,Sales_Data!J:J)</f>
        <v>1050</v>
      </c>
      <c r="D14" s="31">
        <f>SUMIF(Sales_Data!G:G,A14,Sales_Data!L:L)</f>
        <v>1224330</v>
      </c>
      <c r="E14" s="31">
        <f>SUMIF(Sales_Data!G:G,A14,Sales_Data!N:N)</f>
        <v>228130.25</v>
      </c>
      <c r="F14" s="32">
        <f>IFERROR(E14/D14,0)</f>
        <v>0.18633068698798527</v>
      </c>
      <c r="G14" s="32">
        <f>IFERROR(COUNTIFS(Sales_Data!G:G,A14,Sales_Data!P:P,"Yes")/B14,0)</f>
        <v>4.1237113402061855E-2</v>
      </c>
    </row>
    <row r="15" spans="1:10" x14ac:dyDescent="0.3">
      <c r="A15" s="33" t="s">
        <v>41</v>
      </c>
      <c r="B15" s="34">
        <f>COUNTIF(Sales_Data!G:G,A15)</f>
        <v>119</v>
      </c>
      <c r="C15" s="34">
        <f>SUMIF(Sales_Data!G:G,A15,Sales_Data!J:J)</f>
        <v>1218</v>
      </c>
      <c r="D15" s="35">
        <f>SUMIF(Sales_Data!G:G,A15,Sales_Data!L:L)</f>
        <v>28889360</v>
      </c>
      <c r="E15" s="35">
        <f>SUMIF(Sales_Data!G:G,A15,Sales_Data!N:N)</f>
        <v>10003874.710000001</v>
      </c>
      <c r="F15" s="36">
        <f>IFERROR(E15/D15,0)</f>
        <v>0.34628232366518336</v>
      </c>
      <c r="G15" s="36">
        <f>IFERROR(COUNTIFS(Sales_Data!G:G,A15,Sales_Data!P:P,"Yes")/B15,0)</f>
        <v>4.2016806722689079E-2</v>
      </c>
    </row>
    <row r="16" spans="1:10" x14ac:dyDescent="0.3">
      <c r="A16" s="30" t="s">
        <v>42</v>
      </c>
      <c r="B16" s="30">
        <f>COUNTIF(Sales_Data!G:G,A16)</f>
        <v>107</v>
      </c>
      <c r="C16" s="30">
        <f>SUMIF(Sales_Data!G:G,A16,Sales_Data!J:J)</f>
        <v>1084</v>
      </c>
      <c r="D16" s="31">
        <f>SUMIF(Sales_Data!G:G,A16,Sales_Data!L:L)</f>
        <v>8153290</v>
      </c>
      <c r="E16" s="31">
        <f>SUMIF(Sales_Data!G:G,A16,Sales_Data!N:N)</f>
        <v>2413276.4099999997</v>
      </c>
      <c r="F16" s="32">
        <f>IFERROR(E16/D16,0)</f>
        <v>0.29598805022267083</v>
      </c>
      <c r="G16" s="32">
        <f>IFERROR(COUNTIFS(Sales_Data!G:G,A16,Sales_Data!P:P,"Yes")/B16,0)</f>
        <v>2.8037383177570093E-2</v>
      </c>
    </row>
  </sheetData>
  <mergeCells count="2">
    <mergeCell ref="A1:J1"/>
    <mergeCell ref="A10: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5D5B2"/>
  </sheetPr>
  <dimension ref="A1:J16"/>
  <sheetViews>
    <sheetView zoomScaleNormal="100" workbookViewId="0">
      <selection activeCell="C17" sqref="C17"/>
    </sheetView>
  </sheetViews>
  <sheetFormatPr defaultColWidth="8.6640625" defaultRowHeight="14.4" x14ac:dyDescent="0.3"/>
  <cols>
    <col min="1" max="1" width="18" customWidth="1"/>
    <col min="2" max="2" width="10" customWidth="1"/>
    <col min="3" max="4" width="8" customWidth="1"/>
    <col min="5" max="5" width="16" customWidth="1"/>
    <col min="6" max="6" width="18" customWidth="1"/>
    <col min="7" max="7" width="10" customWidth="1"/>
    <col min="8" max="8" width="13" customWidth="1"/>
    <col min="9" max="9" width="9" customWidth="1"/>
    <col min="10" max="10" width="16" customWidth="1"/>
  </cols>
  <sheetData>
    <row r="1" spans="1:10" ht="36" customHeight="1" x14ac:dyDescent="0.3">
      <c r="A1" s="102" t="s">
        <v>650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x14ac:dyDescent="0.3">
      <c r="A2" s="107" t="s">
        <v>651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 x14ac:dyDescent="0.3">
      <c r="A3" s="45" t="s">
        <v>44</v>
      </c>
      <c r="B3" s="45" t="s">
        <v>22</v>
      </c>
      <c r="C3" s="45" t="s">
        <v>24</v>
      </c>
      <c r="D3" s="45" t="s">
        <v>36</v>
      </c>
      <c r="E3" s="45" t="s">
        <v>23</v>
      </c>
      <c r="F3" s="45" t="s">
        <v>51</v>
      </c>
      <c r="G3" s="45" t="s">
        <v>25</v>
      </c>
      <c r="H3" s="45" t="s">
        <v>652</v>
      </c>
      <c r="I3" s="45" t="s">
        <v>28</v>
      </c>
      <c r="J3" s="45" t="s">
        <v>45</v>
      </c>
    </row>
    <row r="4" spans="1:10" x14ac:dyDescent="0.3">
      <c r="A4" s="47" t="s">
        <v>79</v>
      </c>
      <c r="B4" s="30" t="s">
        <v>29</v>
      </c>
      <c r="C4" s="30">
        <f>COUNTIF(Sales_Data!I:I,A4)</f>
        <v>53</v>
      </c>
      <c r="D4" s="30">
        <f>SUMIF(Sales_Data!I:I,A4,Sales_Data!J:J)</f>
        <v>584</v>
      </c>
      <c r="E4" s="31">
        <f>SUMIF(Sales_Data!I:I,A4,Sales_Data!L:L)</f>
        <v>8979690</v>
      </c>
      <c r="F4" s="31">
        <f>SUMIF(Sales_Data!I:I,A4,Sales_Data!N:N)</f>
        <v>2474067.9</v>
      </c>
      <c r="G4" s="32">
        <f t="shared" ref="G4:G13" si="0">IFERROR(F4/E4,0)</f>
        <v>0.27551818603982986</v>
      </c>
      <c r="H4" s="48">
        <f t="shared" ref="H4:H13" si="1">IFERROR((E4-4000000)/4000000,0)</f>
        <v>1.2449224999999999</v>
      </c>
      <c r="I4" s="30">
        <f>COUNTIFS(Sales_Data!I:I,A4,Sales_Data!P:P,"Yes")</f>
        <v>4</v>
      </c>
      <c r="J4" s="30" t="str">
        <f t="shared" ref="J4:J13" si="2">IF(E4&gt;=4000000*1.1,"⭐ Excellent",IF(E4&gt;=4000000,"✅ On Target",IF(E4&gt;=4000000*0.85,"⚠️ Near Target","❌ Below Target")))</f>
        <v>⭐ Excellent</v>
      </c>
    </row>
    <row r="5" spans="1:10" x14ac:dyDescent="0.3">
      <c r="A5" s="49" t="s">
        <v>117</v>
      </c>
      <c r="B5" s="34" t="s">
        <v>29</v>
      </c>
      <c r="C5" s="34">
        <f>COUNTIF(Sales_Data!I:I,A5)</f>
        <v>41</v>
      </c>
      <c r="D5" s="34">
        <f>SUMIF(Sales_Data!I:I,A5,Sales_Data!J:J)</f>
        <v>402</v>
      </c>
      <c r="E5" s="35">
        <f>SUMIF(Sales_Data!I:I,A5,Sales_Data!L:L)</f>
        <v>7122040</v>
      </c>
      <c r="F5" s="35">
        <f>SUMIF(Sales_Data!I:I,A5,Sales_Data!N:N)</f>
        <v>2090325.2500000002</v>
      </c>
      <c r="G5" s="36">
        <f t="shared" si="0"/>
        <v>0.29350091406394802</v>
      </c>
      <c r="H5" s="50">
        <f t="shared" si="1"/>
        <v>0.78051000000000004</v>
      </c>
      <c r="I5" s="34">
        <f>COUNTIFS(Sales_Data!I:I,A5,Sales_Data!P:P,"Yes")</f>
        <v>1</v>
      </c>
      <c r="J5" s="34" t="str">
        <f t="shared" si="2"/>
        <v>⭐ Excellent</v>
      </c>
    </row>
    <row r="6" spans="1:10" x14ac:dyDescent="0.3">
      <c r="A6" s="47" t="s">
        <v>109</v>
      </c>
      <c r="B6" s="30" t="s">
        <v>30</v>
      </c>
      <c r="C6" s="30">
        <f>COUNTIF(Sales_Data!I:I,A6)</f>
        <v>59</v>
      </c>
      <c r="D6" s="30">
        <f>SUMIF(Sales_Data!I:I,A6,Sales_Data!J:J)</f>
        <v>601</v>
      </c>
      <c r="E6" s="31">
        <f>SUMIF(Sales_Data!I:I,A6,Sales_Data!L:L)</f>
        <v>13650710</v>
      </c>
      <c r="F6" s="31">
        <f>SUMIF(Sales_Data!I:I,A6,Sales_Data!N:N)</f>
        <v>3403022.3599999994</v>
      </c>
      <c r="G6" s="32">
        <f t="shared" si="0"/>
        <v>0.2492927005261997</v>
      </c>
      <c r="H6" s="48">
        <f t="shared" si="1"/>
        <v>2.4126775</v>
      </c>
      <c r="I6" s="30">
        <f>COUNTIFS(Sales_Data!I:I,A6,Sales_Data!P:P,"Yes")</f>
        <v>4</v>
      </c>
      <c r="J6" s="30" t="str">
        <f t="shared" si="2"/>
        <v>⭐ Excellent</v>
      </c>
    </row>
    <row r="7" spans="1:10" x14ac:dyDescent="0.3">
      <c r="A7" s="49" t="s">
        <v>131</v>
      </c>
      <c r="B7" s="34" t="s">
        <v>30</v>
      </c>
      <c r="C7" s="34">
        <f>COUNTIF(Sales_Data!I:I,A7)</f>
        <v>55</v>
      </c>
      <c r="D7" s="34">
        <f>SUMIF(Sales_Data!I:I,A7,Sales_Data!J:J)</f>
        <v>534</v>
      </c>
      <c r="E7" s="35">
        <f>SUMIF(Sales_Data!I:I,A7,Sales_Data!L:L)</f>
        <v>6678700</v>
      </c>
      <c r="F7" s="35">
        <f>SUMIF(Sales_Data!I:I,A7,Sales_Data!N:N)</f>
        <v>1937911.7999999998</v>
      </c>
      <c r="G7" s="36">
        <f t="shared" si="0"/>
        <v>0.29016302573854191</v>
      </c>
      <c r="H7" s="50">
        <f t="shared" si="1"/>
        <v>0.66967500000000002</v>
      </c>
      <c r="I7" s="34">
        <f>COUNTIFS(Sales_Data!I:I,A7,Sales_Data!P:P,"Yes")</f>
        <v>3</v>
      </c>
      <c r="J7" s="34" t="str">
        <f t="shared" si="2"/>
        <v>⭐ Excellent</v>
      </c>
    </row>
    <row r="8" spans="1:10" x14ac:dyDescent="0.3">
      <c r="A8" s="47" t="s">
        <v>93</v>
      </c>
      <c r="B8" s="30" t="s">
        <v>31</v>
      </c>
      <c r="C8" s="30">
        <f>COUNTIF(Sales_Data!I:I,A8)</f>
        <v>49</v>
      </c>
      <c r="D8" s="30">
        <f>SUMIF(Sales_Data!I:I,A8,Sales_Data!J:J)</f>
        <v>573</v>
      </c>
      <c r="E8" s="31">
        <f>SUMIF(Sales_Data!I:I,A8,Sales_Data!L:L)</f>
        <v>9674340</v>
      </c>
      <c r="F8" s="31">
        <f>SUMIF(Sales_Data!I:I,A8,Sales_Data!N:N)</f>
        <v>2651500.8800000004</v>
      </c>
      <c r="G8" s="32">
        <f t="shared" si="0"/>
        <v>0.27407563513376626</v>
      </c>
      <c r="H8" s="48">
        <f t="shared" si="1"/>
        <v>1.418585</v>
      </c>
      <c r="I8" s="30">
        <f>COUNTIFS(Sales_Data!I:I,A8,Sales_Data!P:P,"Yes")</f>
        <v>2</v>
      </c>
      <c r="J8" s="30" t="str">
        <f t="shared" si="2"/>
        <v>⭐ Excellent</v>
      </c>
    </row>
    <row r="9" spans="1:10" x14ac:dyDescent="0.3">
      <c r="A9" s="49" t="s">
        <v>112</v>
      </c>
      <c r="B9" s="34" t="s">
        <v>31</v>
      </c>
      <c r="C9" s="34">
        <f>COUNTIF(Sales_Data!I:I,A9)</f>
        <v>43</v>
      </c>
      <c r="D9" s="34">
        <f>SUMIF(Sales_Data!I:I,A9,Sales_Data!J:J)</f>
        <v>461</v>
      </c>
      <c r="E9" s="35">
        <f>SUMIF(Sales_Data!I:I,A9,Sales_Data!L:L)</f>
        <v>8337150</v>
      </c>
      <c r="F9" s="35">
        <f>SUMIF(Sales_Data!I:I,A9,Sales_Data!N:N)</f>
        <v>2274883.2499999995</v>
      </c>
      <c r="G9" s="36">
        <f t="shared" si="0"/>
        <v>0.27286101965299886</v>
      </c>
      <c r="H9" s="50">
        <f t="shared" si="1"/>
        <v>1.0842875000000001</v>
      </c>
      <c r="I9" s="34">
        <f>COUNTIFS(Sales_Data!I:I,A9,Sales_Data!P:P,"Yes")</f>
        <v>1</v>
      </c>
      <c r="J9" s="34" t="str">
        <f t="shared" si="2"/>
        <v>⭐ Excellent</v>
      </c>
    </row>
    <row r="10" spans="1:10" x14ac:dyDescent="0.3">
      <c r="A10" s="47" t="s">
        <v>140</v>
      </c>
      <c r="B10" s="30" t="s">
        <v>32</v>
      </c>
      <c r="C10" s="30">
        <f>COUNTIF(Sales_Data!I:I,A10)</f>
        <v>42</v>
      </c>
      <c r="D10" s="30">
        <f>SUMIF(Sales_Data!I:I,A10,Sales_Data!J:J)</f>
        <v>534</v>
      </c>
      <c r="E10" s="31">
        <f>SUMIF(Sales_Data!I:I,A10,Sales_Data!L:L)</f>
        <v>6920960</v>
      </c>
      <c r="F10" s="31">
        <f>SUMIF(Sales_Data!I:I,A10,Sales_Data!N:N)</f>
        <v>1912589.81</v>
      </c>
      <c r="G10" s="32">
        <f t="shared" si="0"/>
        <v>0.27634747347188832</v>
      </c>
      <c r="H10" s="48">
        <f t="shared" si="1"/>
        <v>0.73024</v>
      </c>
      <c r="I10" s="30">
        <f>COUNTIFS(Sales_Data!I:I,A10,Sales_Data!P:P,"Yes")</f>
        <v>0</v>
      </c>
      <c r="J10" s="30" t="str">
        <f t="shared" si="2"/>
        <v>⭐ Excellent</v>
      </c>
    </row>
    <row r="11" spans="1:10" x14ac:dyDescent="0.3">
      <c r="A11" s="49" t="s">
        <v>146</v>
      </c>
      <c r="B11" s="34" t="s">
        <v>32</v>
      </c>
      <c r="C11" s="34">
        <f>COUNTIF(Sales_Data!I:I,A11)</f>
        <v>47</v>
      </c>
      <c r="D11" s="34">
        <f>SUMIF(Sales_Data!I:I,A11,Sales_Data!J:J)</f>
        <v>491</v>
      </c>
      <c r="E11" s="35">
        <f>SUMIF(Sales_Data!I:I,A11,Sales_Data!L:L)</f>
        <v>6834960</v>
      </c>
      <c r="F11" s="35">
        <f>SUMIF(Sales_Data!I:I,A11,Sales_Data!N:N)</f>
        <v>2130687.3100000005</v>
      </c>
      <c r="G11" s="36">
        <f t="shared" si="0"/>
        <v>0.31173369119936334</v>
      </c>
      <c r="H11" s="50">
        <f t="shared" si="1"/>
        <v>0.70874000000000004</v>
      </c>
      <c r="I11" s="34">
        <f>COUNTIFS(Sales_Data!I:I,A11,Sales_Data!P:P,"Yes")</f>
        <v>2</v>
      </c>
      <c r="J11" s="34" t="str">
        <f t="shared" si="2"/>
        <v>⭐ Excellent</v>
      </c>
    </row>
    <row r="12" spans="1:10" x14ac:dyDescent="0.3">
      <c r="A12" s="47" t="s">
        <v>85</v>
      </c>
      <c r="B12" s="30" t="s">
        <v>33</v>
      </c>
      <c r="C12" s="30">
        <f>COUNTIF(Sales_Data!I:I,A12)</f>
        <v>60</v>
      </c>
      <c r="D12" s="30">
        <f>SUMIF(Sales_Data!I:I,A12,Sales_Data!J:J)</f>
        <v>639</v>
      </c>
      <c r="E12" s="31">
        <f>SUMIF(Sales_Data!I:I,A12,Sales_Data!L:L)</f>
        <v>11511390</v>
      </c>
      <c r="F12" s="31">
        <f>SUMIF(Sales_Data!I:I,A12,Sales_Data!N:N)</f>
        <v>3252511.2499999986</v>
      </c>
      <c r="G12" s="32">
        <f t="shared" si="0"/>
        <v>0.28254722062235738</v>
      </c>
      <c r="H12" s="48">
        <f t="shared" si="1"/>
        <v>1.8778474999999999</v>
      </c>
      <c r="I12" s="30">
        <f>COUNTIFS(Sales_Data!I:I,A12,Sales_Data!P:P,"Yes")</f>
        <v>1</v>
      </c>
      <c r="J12" s="30" t="str">
        <f t="shared" si="2"/>
        <v>⭐ Excellent</v>
      </c>
    </row>
    <row r="13" spans="1:10" x14ac:dyDescent="0.3">
      <c r="A13" s="49" t="s">
        <v>88</v>
      </c>
      <c r="B13" s="34" t="s">
        <v>33</v>
      </c>
      <c r="C13" s="34">
        <f>COUNTIF(Sales_Data!I:I,A13)</f>
        <v>51</v>
      </c>
      <c r="D13" s="34">
        <f>SUMIF(Sales_Data!I:I,A13,Sales_Data!J:J)</f>
        <v>535</v>
      </c>
      <c r="E13" s="35">
        <f>SUMIF(Sales_Data!I:I,A13,Sales_Data!L:L)</f>
        <v>8468550</v>
      </c>
      <c r="F13" s="35">
        <f>SUMIF(Sales_Data!I:I,A13,Sales_Data!N:N)</f>
        <v>2331286.87</v>
      </c>
      <c r="G13" s="36">
        <f t="shared" si="0"/>
        <v>0.27528760767781973</v>
      </c>
      <c r="H13" s="50">
        <f t="shared" si="1"/>
        <v>1.1171374999999999</v>
      </c>
      <c r="I13" s="34">
        <f>COUNTIFS(Sales_Data!I:I,A13,Sales_Data!P:P,"Yes")</f>
        <v>2</v>
      </c>
      <c r="J13" s="34" t="str">
        <f t="shared" si="2"/>
        <v>⭐ Excellent</v>
      </c>
    </row>
    <row r="14" spans="1:10" x14ac:dyDescent="0.3">
      <c r="C14" s="25"/>
      <c r="D14" s="25"/>
      <c r="E14" s="27"/>
      <c r="F14" s="27"/>
      <c r="G14" s="46"/>
      <c r="H14" s="28"/>
      <c r="I14" s="25"/>
    </row>
    <row r="15" spans="1:10" x14ac:dyDescent="0.3">
      <c r="B15" s="26"/>
    </row>
    <row r="16" spans="1:10" x14ac:dyDescent="0.3">
      <c r="F16" s="24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Dashboard</vt:lpstr>
      <vt:lpstr>Sales_Data</vt:lpstr>
      <vt:lpstr>Monthly_Summary</vt:lpstr>
      <vt:lpstr>Regional_Analysis</vt:lpstr>
      <vt:lpstr>Salesperson_Scorecard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Sumit Saini</cp:lastModifiedBy>
  <cp:revision>1</cp:revision>
  <dcterms:created xsi:type="dcterms:W3CDTF">2026-03-20T02:47:38Z</dcterms:created>
  <dcterms:modified xsi:type="dcterms:W3CDTF">2026-09-04T19:29:10Z</dcterms:modified>
  <dc:language>en-US</dc:language>
</cp:coreProperties>
</file>